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🍽️ Meal Options" sheetId="2" state="visible" r:id="rId4"/>
    <sheet name="📅 Weekly Planner" sheetId="3" state="visible" r:id="rId5"/>
    <sheet name="💡 Tips &amp; Reminders" sheetId="4" state="visible" r:id="rId6"/>
    <sheet name="📈 Daily Track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<sst xmlns="http://schemas.openxmlformats.org/spreadsheetml/2006/main" count="327" uniqueCount="206">
  <si>
    <t xml:space="preserve">🏋️  BODY RECOMPOSITION MEAL PLAN</t>
  </si>
  <si>
    <t xml:space="preserve">Lose fat · Build muscle · Stay consistent</t>
  </si>
  <si>
    <t xml:space="preserve">👤 Height
5'10"</t>
  </si>
  <si>
    <t xml:space="preserve">⚖️ Weight
75 kg</t>
  </si>
  <si>
    <t xml:space="preserve">🔥 Calories
1900–2100</t>
  </si>
  <si>
    <t xml:space="preserve">💪 Protein
110–125g</t>
  </si>
  <si>
    <t xml:space="preserve">🏃 Workouts
4x / week</t>
  </si>
  <si>
    <t xml:space="preserve">DAILY SCHEDULE &amp; MACRO SNAPSHOT</t>
  </si>
  <si>
    <t xml:space="preserve">Time</t>
  </si>
  <si>
    <t xml:space="preserve">Meal</t>
  </si>
  <si>
    <t xml:space="preserve">Calories (kcal)</t>
  </si>
  <si>
    <t xml:space="preserve">Protein (g)</t>
  </si>
  <si>
    <t xml:space="preserve">Macro Source</t>
  </si>
  <si>
    <t xml:space="preserve">12:00 PM</t>
  </si>
  <si>
    <t xml:space="preserve">Lunch (e.g. Chicken Rice Bowl)</t>
  </si>
  <si>
    <t xml:space="preserve">Lunch</t>
  </si>
  <si>
    <t xml:space="preserve">3:30 PM</t>
  </si>
  <si>
    <t xml:space="preserve">Snack (e.g. Greek Yogurt)</t>
  </si>
  <si>
    <t xml:space="preserve">Snack</t>
  </si>
  <si>
    <t xml:space="preserve">5:00 PM</t>
  </si>
  <si>
    <t xml:space="preserve">Pre-Workout (Coffee + Banana)</t>
  </si>
  <si>
    <t xml:space="preserve">Shake</t>
  </si>
  <si>
    <t xml:space="preserve">6:30 PM</t>
  </si>
  <si>
    <t xml:space="preserve">Post-Workout Shake</t>
  </si>
  <si>
    <t xml:space="preserve">Dinner</t>
  </si>
  <si>
    <t xml:space="preserve">8:00 PM</t>
  </si>
  <si>
    <t xml:space="preserve">Dinner (e.g. Chicken Dinner)</t>
  </si>
  <si>
    <t xml:space="preserve">Sweet</t>
  </si>
  <si>
    <t xml:space="preserve">After dinner</t>
  </si>
  <si>
    <t xml:space="preserve">Dark Chocolate (optional)</t>
  </si>
  <si>
    <t xml:space="preserve">DAILY TOTAL</t>
  </si>
  <si>
    <t xml:space="preserve">⚡ ON HARDER OTF DAYS — Boost to 1900–2100 kcal</t>
  </si>
  <si>
    <t xml:space="preserve">Add This</t>
  </si>
  <si>
    <t xml:space="preserve">Amount</t>
  </si>
  <si>
    <t xml:space="preserve">Extra Calories</t>
  </si>
  <si>
    <t xml:space="preserve">Extra Protein</t>
  </si>
  <si>
    <t xml:space="preserve">Extra rice</t>
  </si>
  <si>
    <t xml:space="preserve">+½ cup</t>
  </si>
  <si>
    <t xml:space="preserve">+100 kcal</t>
  </si>
  <si>
    <t xml:space="preserve">+2g</t>
  </si>
  <si>
    <t xml:space="preserve">1 roti</t>
  </si>
  <si>
    <t xml:space="preserve">1 medium</t>
  </si>
  <si>
    <t xml:space="preserve">+120 kcal</t>
  </si>
  <si>
    <t xml:space="preserve">+3g</t>
  </si>
  <si>
    <t xml:space="preserve">Banana</t>
  </si>
  <si>
    <t xml:space="preserve">1 whole</t>
  </si>
  <si>
    <t xml:space="preserve">+90 kcal</t>
  </si>
  <si>
    <t xml:space="preserve">+1g</t>
  </si>
  <si>
    <t xml:space="preserve">Milk in shake</t>
  </si>
  <si>
    <t xml:space="preserve">250ml</t>
  </si>
  <si>
    <t xml:space="preserve">+8g</t>
  </si>
  <si>
    <t xml:space="preserve">Mixed nuts</t>
  </si>
  <si>
    <t xml:space="preserve">30g</t>
  </si>
  <si>
    <t xml:space="preserve">+180 kcal</t>
  </si>
  <si>
    <t xml:space="preserve">+5g</t>
  </si>
  <si>
    <t xml:space="preserve">🎯 Target: ~1900–2100 kcal on high-intensity days | ~1660–1800 kcal on rest/light days</t>
  </si>
  <si>
    <t xml:space="preserve">🍽️  MEAL OPTIONS — Full Breakdown</t>
  </si>
  <si>
    <t xml:space="preserve">🥗 LUNCH OPTIONS  (12–1 PM)</t>
  </si>
  <si>
    <t xml:space="preserve">Option</t>
  </si>
  <si>
    <t xml:space="preserve">Food Item</t>
  </si>
  <si>
    <t xml:space="preserve">Quantity</t>
  </si>
  <si>
    <t xml:space="preserve">Calories</t>
  </si>
  <si>
    <t xml:space="preserve">Chicken Rice Bowl</t>
  </si>
  <si>
    <t xml:space="preserve">Chicken breast</t>
  </si>
  <si>
    <t xml:space="preserve">180g</t>
  </si>
  <si>
    <t xml:space="preserve">Rice</t>
  </si>
  <si>
    <t xml:space="preserve">1 cup</t>
  </si>
  <si>
    <t xml:space="preserve">Vegetables</t>
  </si>
  <si>
    <t xml:space="preserve">2 cups</t>
  </si>
  <si>
    <t xml:space="preserve">Oil/ghee</t>
  </si>
  <si>
    <t xml:space="preserve">1 tsp</t>
  </si>
  <si>
    <t xml:space="preserve">TOTAL</t>
  </si>
  <si>
    <t xml:space="preserve">Salmon Quinoa Bowl</t>
  </si>
  <si>
    <t xml:space="preserve">Salmon</t>
  </si>
  <si>
    <t xml:space="preserve">Quinoa</t>
  </si>
  <si>
    <t xml:space="preserve">Paneer Roti Plate</t>
  </si>
  <si>
    <t xml:space="preserve">Paneer</t>
  </si>
  <si>
    <t xml:space="preserve">200g</t>
  </si>
  <si>
    <t xml:space="preserve">Roti</t>
  </si>
  <si>
    <t xml:space="preserve">2</t>
  </si>
  <si>
    <t xml:space="preserve">🍎 SNACK OPTIONS  (3–4 PM)</t>
  </si>
  <si>
    <t xml:space="preserve">Greek Yogurt Snack</t>
  </si>
  <si>
    <t xml:space="preserve">Greek yogurt</t>
  </si>
  <si>
    <t xml:space="preserve">Apple/berries</t>
  </si>
  <si>
    <t xml:space="preserve">1 serving</t>
  </si>
  <si>
    <t xml:space="preserve">Peanut butter</t>
  </si>
  <si>
    <t xml:space="preserve">1 tbsp</t>
  </si>
  <si>
    <t xml:space="preserve">Protein Bar Snack</t>
  </si>
  <si>
    <t xml:space="preserve">Protein bar</t>
  </si>
  <si>
    <t xml:space="preserve">1 bar</t>
  </si>
  <si>
    <t xml:space="preserve">Fruit</t>
  </si>
  <si>
    <t xml:space="preserve">🌙 DINNER OPTIONS  (7:30–8:30 PM)</t>
  </si>
  <si>
    <t xml:space="preserve">Chicken Dinner</t>
  </si>
  <si>
    <t xml:space="preserve">150g</t>
  </si>
  <si>
    <t xml:space="preserve">½ cup</t>
  </si>
  <si>
    <t xml:space="preserve">Salmon Dinner</t>
  </si>
  <si>
    <t xml:space="preserve">Tofu Dinner</t>
  </si>
  <si>
    <t xml:space="preserve">Tofu</t>
  </si>
  <si>
    <t xml:space="preserve">250g</t>
  </si>
  <si>
    <t xml:space="preserve">1</t>
  </si>
  <si>
    <t xml:space="preserve">⚡ PRE-WORKOUT  (5 PM)   &amp;   POST-WORKOUT  (6:30 PM)</t>
  </si>
  <si>
    <t xml:space="preserve">Timing</t>
  </si>
  <si>
    <t xml:space="preserve">PRE</t>
  </si>
  <si>
    <t xml:space="preserve">Black coffee</t>
  </si>
  <si>
    <t xml:space="preserve">Banana (optional)</t>
  </si>
  <si>
    <t xml:space="preserve">½</t>
  </si>
  <si>
    <t xml:space="preserve">POST</t>
  </si>
  <si>
    <t xml:space="preserve">Whey shake (water)</t>
  </si>
  <si>
    <t xml:space="preserve">1 scoop</t>
  </si>
  <si>
    <t xml:space="preserve">Whey shake (milk)</t>
  </si>
  <si>
    <t xml:space="preserve">1 scoop + 250ml</t>
  </si>
  <si>
    <t xml:space="preserve">📅  WEEKLY MEAL &amp; WORKOUT PLANNER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</si>
  <si>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</si>
  <si>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</si>
  <si>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</si>
  <si>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</si>
  <si>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</si>
  <si>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</si>
  <si>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</si>
  <si>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Chicken Bowl</t>
  </si>
  <si>
    <t xml:space="preserve">Salmon Bowl</t>
  </si>
  <si>
    <t xml:space="preserve">Paneer Roti</t>
  </si>
  <si>
    <t xml:space="preserve">Greek Yogurt</t>
  </si>
  <si>
    <t xml:space="preserve">Protein Bar</t>
  </si>
  <si>
    <t xml:space="preserve">Pre-WO</t>
  </si>
  <si>
    <t xml:space="preserve">Coffee</t>
  </si>
  <si>
    <t xml:space="preserve">Post-WO</t>
  </si>
  <si>
    <t xml:space="preserve">Whey+Water</t>
  </si>
  <si>
    <t xml:space="preserve">Chicken</t>
  </si>
  <si>
    <t xml:space="preserve">Workout</t>
  </si>
  <si>
    <t xml:space="preserve">Orange 60</t>
  </si>
  <si>
    <t xml:space="preserve">Rest</t>
  </si>
  <si>
    <t xml:space="preserve">Strength 50</t>
  </si>
  <si>
    <t xml:space="preserve">Notes</t>
  </si>
  <si>
    <t xml:space="preserve">High intensity</t>
  </si>
  <si>
    <t xml:space="preserve">Recovery</t>
  </si>
  <si>
    <t xml:space="preserve">Lift heavy</t>
  </si>
  <si>
    <t xml:space="preserve">HIIT</t>
  </si>
  <si>
    <t xml:space="preserve">Meal prep</t>
  </si>
  <si>
    <t xml:space="preserve">Rest &amp; recharge</t>
  </si>
  <si>
    <t xml:space="preserve">💡  TIPS, REMINDERS &amp; STRATEGY</t>
  </si>
  <si>
    <t xml:space="preserve">KEY PRINCIPLES FOR BODY RECOMPOSITION</t>
  </si>
  <si>
    <t xml:space="preserve">#</t>
  </si>
  <si>
    <t xml:space="preserve">Icon</t>
  </si>
  <si>
    <t xml:space="preserve">Tip</t>
  </si>
  <si>
    <t xml:space="preserve">Details</t>
  </si>
  <si>
    <t xml:space="preserve">🎯</t>
  </si>
  <si>
    <t xml:space="preserve">Hit protein targets daily</t>
  </si>
  <si>
    <t xml:space="preserve">Aim for 110–125g across all meals — protein is the #1 lever for recomposition.</t>
  </si>
  <si>
    <t xml:space="preserve">⚡</t>
  </si>
  <si>
    <t xml:space="preserve">Time your meals right</t>
  </si>
  <si>
    <t xml:space="preserve">Eat lunch 12–1 PM, snack 3–4 PM, pre-WO at 5 PM, post-WO shake immediately after.</t>
  </si>
  <si>
    <t xml:space="preserve">🚫</t>
  </si>
  <si>
    <t xml:space="preserve">Avoid crash dieting</t>
  </si>
  <si>
    <t xml:space="preserve">Stay at 1900–2100 kcal. Eating too little kills muscle gain and slows metabolism.</t>
  </si>
  <si>
    <t xml:space="preserve">💧</t>
  </si>
  <si>
    <t xml:space="preserve">Stay hydrated</t>
  </si>
  <si>
    <t xml:space="preserve">Drink 2.5–3L of water daily. Dehydration spikes cravings and tanks performance.</t>
  </si>
  <si>
    <t xml:space="preserve">🍫</t>
  </si>
  <si>
    <t xml:space="preserve">Manage cravings smartly</t>
  </si>
  <si>
    <t xml:space="preserve">Dark chocolate or small dessert (~100 kcal) is budgeted in — don't skip it then binge.</t>
  </si>
  <si>
    <t xml:space="preserve">🔄</t>
  </si>
  <si>
    <t xml:space="preserve">Consistency &gt; perfection</t>
  </si>
  <si>
    <t xml:space="preserve">Missing one meal won't ruin progress. One perfect week won't fix everything. Show up daily.</t>
  </si>
  <si>
    <t xml:space="preserve">💪</t>
  </si>
  <si>
    <t xml:space="preserve">Progressive overload</t>
  </si>
  <si>
    <t xml:space="preserve">Increase weights every 2 weeks. Muscle growth needs a challenge, not just protein.</t>
  </si>
  <si>
    <t xml:space="preserve">😴</t>
  </si>
  <si>
    <t xml:space="preserve">Sleep 7–9 hours</t>
  </si>
  <si>
    <t xml:space="preserve">Most fat loss and muscle repair happens at night. Sleep is your secret weapon.</t>
  </si>
  <si>
    <t xml:space="preserve">📊</t>
  </si>
  <si>
    <t xml:space="preserve">Track weekly, not daily</t>
  </si>
  <si>
    <t xml:space="preserve">Weight fluctuates ±2kg daily. Take weekly averages to see real trends.</t>
  </si>
  <si>
    <t xml:space="preserve">🥗</t>
  </si>
  <si>
    <t xml:space="preserve">Vary your meals</t>
  </si>
  <si>
    <t xml:space="preserve">Rotate lunch and dinner options to hit different micronutrients and stay interested.</t>
  </si>
  <si>
    <t xml:space="preserve">📈  DAILY NUTRITION &amp; WORKOUT TRACKER</t>
  </si>
  <si>
    <t xml:space="preserve">Check ✓ on workout days for higher calorie target  ·  Log protein for each meal  ·  Track daily totals</t>
  </si>
  <si>
    <t xml:space="preserve">🟢 Goal met    🔴 Below target    🟡 Close</t>
  </si>
  <si>
    <t xml:space="preserve">Workout day target: ~1900–2100 kcal  |  Rest day target: ~1660–1800 kcal  |  Protein target: 110–125g daily</t>
  </si>
  <si>
    <t xml:space="preserve">Date</t>
  </si>
  <si>
    <t xml:space="preserve">Day</t>
  </si>
  <si>
    <t xml:space="preserve">Workout?
(✓/✗)</t>
  </si>
  <si>
    <t xml:space="preserve">Cal Target
(kcal)</t>
  </si>
  <si>
    <t xml:space="preserve">Lunch
Protein (g)</t>
  </si>
  <si>
    <t xml:space="preserve">Snack
Protein (g)</t>
  </si>
  <si>
    <t xml:space="preserve">Shake
Protein (g)</t>
  </si>
  <si>
    <t xml:space="preserve">Dinner
Protein (g)</t>
  </si>
  <si>
    <t xml:space="preserve">Total
Protein (g)</t>
  </si>
  <si>
    <t xml:space="preserve">Calories
Eaten (kcal)</t>
  </si>
  <si>
    <t xml:space="preserve">Calorie
Goal Met?</t>
  </si>
  <si>
    <t xml:space="preserve">Protein
Goal Met?</t>
  </si>
  <si>
    <t xml:space="preserve">Thu</t>
  </si>
  <si>
    <t xml:space="preserve">Fri</t>
  </si>
  <si>
    <t xml:space="preserve">✓</t>
  </si>
  <si>
    <t xml:space="preserve">Sat</t>
  </si>
  <si>
    <t xml:space="preserve">Sun</t>
  </si>
  <si>
    <t xml:space="preserve">Mon</t>
  </si>
  <si>
    <t xml:space="preserve">Tue</t>
  </si>
  <si>
    <t xml:space="preserve">Wed</t>
  </si>
  <si>
    <t xml:space="preserve">30-DAY SUMMARY</t>
  </si>
  <si>
    <t xml:space="preserve">Workout Days</t>
  </si>
  <si>
    <t xml:space="preserve">Avg Cal Target</t>
  </si>
  <si>
    <t xml:space="preserve">Avg Protein/day</t>
  </si>
  <si>
    <t xml:space="preserve">Days Goal Met</t>
  </si>
  <si>
    <t xml:space="preserve">Protein Goal Met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</si>
</sst>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dd\ mmm\ yyyy"/>
    <numFmt numFmtId="167" formatCode="#,##0&quot; kcal&quot;"/>
    <numFmt numFmtId="168" formatCode="0"/>
    <numFmt numFmtId="169" formatCode="0\g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i val="true"/>
      <sz val="11"/>
      <color rgb="FF888888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2"/>
      <color rgb="FFE9456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1A1A2E"/>
      <name val="Calibri"/>
      <family val="0"/>
      <charset val="1"/>
    </font>
    <font>
      <sz val="10"/>
      <color rgb="FF1A1A2E"/>
      <name val="Calibri"/>
      <family val="0"/>
      <charset val="1"/>
    </font>
    <font>
      <b val="true"/>
      <i val="true"/>
      <sz val="10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8"/>
      <color rgb="FFFFFFFF"/>
      <name val="Calibri"/>
      <family val="0"/>
      <charset val="1"/>
    </font>
    <font>
      <sz val="13"/>
      <color rgb="FFFFFFFF"/>
      <name val="Calibri"/>
      <family val="0"/>
      <charset val="1"/>
    </font>
    <font>
      <b val="true"/>
      <sz val="10"/>
      <color rgb="FF1A1A2E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i val="true"/>
      <sz val="10"/>
      <color rgb="FF999999"/>
      <name val="Calibri"/>
      <family val="0"/>
      <charset val="1"/>
    </font>
    <font>
      <i val="true"/>
      <sz val="9"/>
      <color rgb="FF555555"/>
      <name val="Calibri"/>
      <family val="0"/>
      <charset val="1"/>
    </font>
    <font>
      <b val="true"/>
      <sz val="12"/>
      <color rgb="FFCCCCCC"/>
      <name val="Calibri"/>
      <family val="0"/>
      <charset val="1"/>
    </font>
    <font>
      <b val="true"/>
      <sz val="10"/>
      <color rgb="FF2E7D32"/>
      <name val="Calibri"/>
      <family val="0"/>
      <charset val="1"/>
    </font>
    <font>
      <sz val="11"/>
      <color rgb="FF1A1A2E"/>
      <name val="Calibri"/>
      <family val="0"/>
      <charset val="1"/>
    </font>
    <font>
      <b val="true"/>
      <sz val="12"/>
      <color rgb="FF27AE6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4"/>
      <color rgb="FFE94560"/>
      <name val="Calibri"/>
      <family val="0"/>
      <charset val="1"/>
    </font>
    <font>
      <b val="true"/>
      <sz val="14"/>
      <color rgb="FF2E7D32"/>
      <name val="Calibri"/>
      <family val="0"/>
      <charset val="1"/>
    </font>
    <font>
      <b val="true"/>
      <sz val="14"/>
      <color rgb="FF1565C0"/>
      <name val="Calibri"/>
      <family val="0"/>
      <charset val="1"/>
    </font>
    <font>
      <b val="true"/>
      <sz val="14"/>
      <color rgb="FF27AE60"/>
      <name val="Calibri"/>
      <family val="0"/>
      <charset val="1"/>
    </font>
    <font>
      <b val="true"/>
      <sz val="14"/>
      <color rgb="FF00695C"/>
      <name val="Calibri"/>
      <family val="0"/>
      <charset val="1"/>
    </font>
  </fonts>
  <fills count="28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0F3460"/>
        <bgColor rgb="FF1A237E"/>
      </patternFill>
    </fill>
    <fill>
      <patternFill patternType="solid">
        <fgColor rgb="FFFDECEA"/>
        <bgColor rgb="FFFBE9E7"/>
      </patternFill>
    </fill>
    <fill>
      <patternFill patternType="solid">
        <fgColor rgb="FFFFFFFF"/>
        <bgColor rgb="FFF9F9F9"/>
      </patternFill>
    </fill>
    <fill>
      <patternFill patternType="solid">
        <fgColor rgb="FFF0F4FF"/>
        <bgColor rgb="FFF9F9F9"/>
      </patternFill>
    </fill>
    <fill>
      <patternFill patternType="solid">
        <fgColor rgb="FFE94560"/>
        <bgColor rgb="FFC0504D"/>
      </patternFill>
    </fill>
    <fill>
      <patternFill patternType="solid">
        <fgColor rgb="FF2E7D32"/>
        <bgColor rgb="FF00695C"/>
      </patternFill>
    </fill>
    <fill>
      <patternFill patternType="solid">
        <fgColor rgb="FF1565C0"/>
        <bgColor rgb="FF008080"/>
      </patternFill>
    </fill>
    <fill>
      <patternFill patternType="solid">
        <fgColor rgb="FF6A1B9A"/>
        <bgColor rgb="FF4A148C"/>
      </patternFill>
    </fill>
    <fill>
      <patternFill patternType="solid">
        <fgColor rgb="FFBF360C"/>
        <bgColor rgb="FFC0504D"/>
      </patternFill>
    </fill>
    <fill>
      <patternFill patternType="solid">
        <fgColor rgb="FFE65100"/>
        <bgColor rgb="FFBF360C"/>
      </patternFill>
    </fill>
    <fill>
      <patternFill patternType="solid">
        <fgColor rgb="FF4A148C"/>
        <bgColor rgb="FF6A1B9A"/>
      </patternFill>
    </fill>
    <fill>
      <patternFill patternType="solid">
        <fgColor rgb="FF1A237E"/>
        <bgColor rgb="FF0F3460"/>
      </patternFill>
    </fill>
    <fill>
      <patternFill patternType="solid">
        <fgColor rgb="FF37474F"/>
        <bgColor rgb="FF555555"/>
      </patternFill>
    </fill>
    <fill>
      <patternFill patternType="solid">
        <fgColor rgb="FF00695C"/>
        <bgColor rgb="FF008080"/>
      </patternFill>
    </fill>
    <fill>
      <patternFill patternType="solid">
        <fgColor rgb="FFF39C12"/>
        <bgColor rgb="FFFFCC00"/>
      </patternFill>
    </fill>
    <fill>
      <patternFill patternType="solid">
        <fgColor rgb="FFE8F5E9"/>
        <bgColor rgb="FFE0F2F1"/>
      </patternFill>
    </fill>
    <fill>
      <patternFill patternType="solid">
        <fgColor rgb="FFE3F2FD"/>
        <bgColor rgb="FFE0F2F1"/>
      </patternFill>
    </fill>
    <fill>
      <patternFill patternType="solid">
        <fgColor rgb="FFFFF8E1"/>
        <bgColor rgb="FFFFFDE7"/>
      </patternFill>
    </fill>
    <fill>
      <patternFill patternType="solid">
        <fgColor rgb="FFEDE7F6"/>
        <bgColor rgb="FFF3E5F5"/>
      </patternFill>
    </fill>
    <fill>
      <patternFill patternType="solid">
        <fgColor rgb="FFF3E5F5"/>
        <bgColor rgb="FFEDE7F6"/>
      </patternFill>
    </fill>
    <fill>
      <patternFill patternType="solid">
        <fgColor rgb="FFE0F2F1"/>
        <bgColor rgb="FFE3F2FD"/>
      </patternFill>
    </fill>
    <fill>
      <patternFill patternType="solid">
        <fgColor rgb="FFFBE9E7"/>
        <bgColor rgb="FFFDECEA"/>
      </patternFill>
    </fill>
    <fill>
      <patternFill patternType="solid">
        <fgColor rgb="FFFFFDE7"/>
        <bgColor rgb="FFFFF8E1"/>
      </patternFill>
    </fill>
    <fill>
      <patternFill patternType="solid">
        <fgColor rgb="FF27AE60"/>
        <bgColor rgb="FF4BACC6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E94560"/>
      </left>
      <right/>
      <top style="medium">
        <color rgb="FFE94560"/>
      </top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7" fillId="2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2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2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2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2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8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9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0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1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800000"/>
      <rgbColor rgb="FF2E7D32"/>
      <rgbColor rgb="FF000080"/>
      <rgbColor rgb="FF888888"/>
      <rgbColor rgb="FF6A1B9A"/>
      <rgbColor rgb="FF00695C"/>
      <rgbColor rgb="FFCCCCCC"/>
      <rgbColor rgb="FF878787"/>
      <rgbColor rgb="FFAAAAAA"/>
      <rgbColor rgb="FFC0504D"/>
      <rgbColor rgb="FFFFF8E1"/>
      <rgbColor rgb="FFE0F2F1"/>
      <rgbColor rgb="FF4A148C"/>
      <rgbColor rgb="FFE94560"/>
      <rgbColor rgb="FF1565C0"/>
      <rgbColor rgb="FFD9D9D9"/>
      <rgbColor rgb="FF000080"/>
      <rgbColor rgb="FFFF00FF"/>
      <rgbColor rgb="FFF0F4FF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DE7"/>
      <rgbColor rgb="FFEDE7F6"/>
      <rgbColor rgb="FFF3E5F5"/>
      <rgbColor rgb="FFFDECEA"/>
      <rgbColor rgb="FFFBE9E7"/>
      <rgbColor rgb="FF4F81BD"/>
      <rgbColor rgb="FF4BACC6"/>
      <rgbColor rgb="FF9BBB59"/>
      <rgbColor rgb="FFFFCC00"/>
      <rgbColor rgb="FFF39C12"/>
      <rgbColor rgb="FFE65100"/>
      <rgbColor rgb="FF8064A2"/>
      <rgbColor rgb="FF999999"/>
      <rgbColor rgb="FF0F3460"/>
      <rgbColor rgb="FF27AE60"/>
      <rgbColor rgb="FF16213E"/>
      <rgbColor rgb="FF1A1A2E"/>
      <rgbColor rgb="FFBF360C"/>
      <rgbColor rgb="FF555555"/>
      <rgbColor rgb="FF1A237E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Protein by Meal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'📊 Dashboard'!H8</c:f>
              <c:strCache>
                <c:ptCount val="1"/>
                <c:pt idx="0">
                  <c:v>Protein (g)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'📊 Dashboard'!$G$9:$G$13</c:f>
              <c:strCache>
                <c:ptCount val="5"/>
                <c:pt idx="0">
                  <c:v>Lunch</c:v>
                </c:pt>
                <c:pt idx="1">
                  <c:v>Snack</c:v>
                </c:pt>
                <c:pt idx="2">
                  <c:v>Shake</c:v>
                </c:pt>
                <c:pt idx="3">
                  <c:v>Dinner</c:v>
                </c:pt>
                <c:pt idx="4">
                  <c:v>Sweet</c:v>
                </c:pt>
              </c:strCache>
            </c:strRef>
          </c:cat>
          <c:val>
            <c:numRef>
              <c:f>'📊 Dashboard'!$H$9:$H$13</c:f>
              <c:numCache>
                <c:formatCode>General</c:formatCode>
                <c:ptCount val="5"/>
                <c:pt idx="0">
                  <c:v>47</c:v>
                </c:pt>
                <c:pt idx="1">
                  <c:v>22</c:v>
                </c:pt>
                <c:pt idx="2">
                  <c:v>28</c:v>
                </c:pt>
                <c:pt idx="3">
                  <c:v>40</c:v>
                </c:pt>
                <c:pt idx="4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Calories by Meal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'📊 Dashboard'!C8</c:f>
              <c:strCache>
                <c:ptCount val="1"/>
                <c:pt idx="0">
                  <c:v>Calories (kcal)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Dashboard'!$B$9:$B$14</c:f>
              <c:strCache>
                <c:ptCount val="6"/>
                <c:pt idx="0">
                  <c:v>Lunch (e.g. Chicken Rice Bowl)</c:v>
                </c:pt>
                <c:pt idx="1">
                  <c:v>Snack (e.g. Greek Yogurt)</c:v>
                </c:pt>
                <c:pt idx="2">
                  <c:v>Pre-Workout (Coffee + Banana)</c:v>
                </c:pt>
                <c:pt idx="3">
                  <c:v>Post-Workout Shake</c:v>
                </c:pt>
                <c:pt idx="4">
                  <c:v>Dinner (e.g. Chicken Dinner)</c:v>
                </c:pt>
                <c:pt idx="5">
                  <c:v>Dark Chocolate (optional)</c:v>
                </c:pt>
              </c:strCache>
            </c:strRef>
          </c:cat>
          <c:val>
            <c:numRef>
              <c:f>'📊 Dashboard'!$C$9:$C$14</c:f>
              <c:numCache>
                <c:formatCode>General</c:formatCode>
                <c:ptCount val="6"/>
                <c:pt idx="0">
                  <c:v>620</c:v>
                </c:pt>
                <c:pt idx="1">
                  <c:v>325</c:v>
                </c:pt>
                <c:pt idx="2">
                  <c:v>55</c:v>
                </c:pt>
                <c:pt idx="3">
                  <c:v>130</c:v>
                </c:pt>
                <c:pt idx="4">
                  <c:v>430</c:v>
                </c:pt>
                <c:pt idx="5">
                  <c:v>100</c:v>
                </c:pt>
              </c:numCache>
            </c:numRef>
          </c:val>
        </c:ser>
        <c:gapWidth val="150"/>
        <c:overlap val="0"/>
        <c:axId val="7713465"/>
        <c:axId val="85453531"/>
      </c:barChart>
      <c:catAx>
        <c:axId val="77134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453531"/>
        <c:crosses val="autoZero"/>
        <c:auto val="1"/>
        <c:lblAlgn val="ctr"/>
        <c:lblOffset val="100"/>
        <c:noMultiLvlLbl val="0"/>
      </c:catAx>
      <c:valAx>
        <c:axId val="854535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kcal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134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0</xdr:rowOff>
    </xdr:from>
    <xdr:to>
      <xdr:col>4</xdr:col>
      <xdr:colOff>245520</xdr:colOff>
      <xdr:row>34</xdr:row>
      <xdr:rowOff>169560</xdr:rowOff>
    </xdr:to>
    <xdr:graphicFrame>
      <xdr:nvGraphicFramePr>
        <xdr:cNvPr id="0" name="Chart 1"/>
        <xdr:cNvGraphicFramePr/>
      </xdr:nvGraphicFramePr>
      <xdr:xfrm>
        <a:off x="0" y="4324320"/>
        <a:ext cx="5038560" cy="3769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16</xdr:row>
      <xdr:rowOff>0</xdr:rowOff>
    </xdr:from>
    <xdr:to>
      <xdr:col>11</xdr:col>
      <xdr:colOff>72000</xdr:colOff>
      <xdr:row>34</xdr:row>
      <xdr:rowOff>169560</xdr:rowOff>
    </xdr:to>
    <xdr:graphicFrame>
      <xdr:nvGraphicFramePr>
        <xdr:cNvPr id="1" name="Chart 2"/>
        <xdr:cNvGraphicFramePr/>
      </xdr:nvGraphicFramePr>
      <xdr:xfrm>
        <a:off x="5779800" y="4324320"/>
        <a:ext cx="5758560" cy="3769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26"/>
    <col collapsed="false" customWidth="true" hidden="false" outlineLevel="0" max="6" min="4" style="1" width="14"/>
    <col collapsed="false" customWidth="true" hidden="false" outlineLevel="0" max="7" min="7" style="1" width="16"/>
    <col collapsed="false" customWidth="true" hidden="false" outlineLevel="0" max="10" min="8" style="1" width="14"/>
  </cols>
  <sheetData>
    <row r="1" customFormat="false" ht="6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9.5" hidden="false" customHeight="true" outlineLevel="0" collapsed="false">
      <c r="A4" s="4" t="s">
        <v>2</v>
      </c>
      <c r="B4" s="4"/>
      <c r="C4" s="4" t="s">
        <v>3</v>
      </c>
      <c r="D4" s="4"/>
      <c r="E4" s="4" t="s">
        <v>4</v>
      </c>
      <c r="F4" s="4"/>
      <c r="G4" s="4" t="s">
        <v>5</v>
      </c>
      <c r="H4" s="4"/>
      <c r="I4" s="4" t="s">
        <v>6</v>
      </c>
      <c r="J4" s="4"/>
    </row>
    <row r="5" customFormat="false" ht="19.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</row>
    <row r="7" customFormat="false" ht="21.75" hidden="false" customHeight="true" outlineLevel="0" collapsed="false">
      <c r="A7" s="5" t="s">
        <v>7</v>
      </c>
      <c r="B7" s="5"/>
      <c r="C7" s="5"/>
      <c r="D7" s="5"/>
      <c r="E7" s="5"/>
      <c r="F7" s="5"/>
      <c r="G7" s="5"/>
      <c r="H7" s="5"/>
      <c r="I7" s="5"/>
      <c r="J7" s="5"/>
    </row>
    <row r="8" customFormat="false" ht="15" hidden="false" customHeight="true" outlineLevel="0" collapsed="false">
      <c r="A8" s="6" t="s">
        <v>8</v>
      </c>
      <c r="B8" s="6" t="s">
        <v>9</v>
      </c>
      <c r="C8" s="6" t="s">
        <v>10</v>
      </c>
      <c r="D8" s="6" t="s">
        <v>11</v>
      </c>
      <c r="G8" s="7" t="s">
        <v>12</v>
      </c>
      <c r="H8" s="7" t="s">
        <v>11</v>
      </c>
    </row>
    <row r="9" customFormat="false" ht="18" hidden="false" customHeight="true" outlineLevel="0" collapsed="false">
      <c r="A9" s="8" t="s">
        <v>13</v>
      </c>
      <c r="B9" s="8" t="s">
        <v>14</v>
      </c>
      <c r="C9" s="9" t="n">
        <v>620</v>
      </c>
      <c r="D9" s="9" t="n">
        <v>47</v>
      </c>
      <c r="G9" s="7" t="s">
        <v>15</v>
      </c>
      <c r="H9" s="7" t="n">
        <v>47</v>
      </c>
    </row>
    <row r="10" customFormat="false" ht="18" hidden="false" customHeight="true" outlineLevel="0" collapsed="false">
      <c r="A10" s="10" t="s">
        <v>16</v>
      </c>
      <c r="B10" s="10" t="s">
        <v>17</v>
      </c>
      <c r="C10" s="11" t="n">
        <v>325</v>
      </c>
      <c r="D10" s="11" t="n">
        <v>22</v>
      </c>
      <c r="G10" s="7" t="s">
        <v>18</v>
      </c>
      <c r="H10" s="7" t="n">
        <v>22</v>
      </c>
    </row>
    <row r="11" customFormat="false" ht="18" hidden="false" customHeight="true" outlineLevel="0" collapsed="false">
      <c r="A11" s="8" t="s">
        <v>19</v>
      </c>
      <c r="B11" s="8" t="s">
        <v>20</v>
      </c>
      <c r="C11" s="9" t="n">
        <v>55</v>
      </c>
      <c r="D11" s="9" t="n">
        <v>0</v>
      </c>
      <c r="G11" s="7" t="s">
        <v>21</v>
      </c>
      <c r="H11" s="7" t="n">
        <v>28</v>
      </c>
    </row>
    <row r="12" customFormat="false" ht="18" hidden="false" customHeight="true" outlineLevel="0" collapsed="false">
      <c r="A12" s="10" t="s">
        <v>22</v>
      </c>
      <c r="B12" s="10" t="s">
        <v>23</v>
      </c>
      <c r="C12" s="11" t="n">
        <v>130</v>
      </c>
      <c r="D12" s="11" t="n">
        <v>28</v>
      </c>
      <c r="G12" s="7" t="s">
        <v>24</v>
      </c>
      <c r="H12" s="7" t="n">
        <v>40</v>
      </c>
    </row>
    <row r="13" customFormat="false" ht="18" hidden="false" customHeight="true" outlineLevel="0" collapsed="false">
      <c r="A13" s="8" t="s">
        <v>25</v>
      </c>
      <c r="B13" s="8" t="s">
        <v>26</v>
      </c>
      <c r="C13" s="9" t="n">
        <v>430</v>
      </c>
      <c r="D13" s="9" t="n">
        <v>40</v>
      </c>
      <c r="G13" s="7" t="s">
        <v>27</v>
      </c>
      <c r="H13" s="7" t="n">
        <v>1</v>
      </c>
    </row>
    <row r="14" customFormat="false" ht="18" hidden="false" customHeight="true" outlineLevel="0" collapsed="false">
      <c r="A14" s="10" t="s">
        <v>28</v>
      </c>
      <c r="B14" s="10" t="s">
        <v>29</v>
      </c>
      <c r="C14" s="11" t="n">
        <v>100</v>
      </c>
      <c r="D14" s="11" t="n">
        <v>1</v>
      </c>
    </row>
    <row r="15" customFormat="false" ht="21.75" hidden="false" customHeight="true" outlineLevel="0" collapsed="false">
      <c r="A15" s="12" t="s">
        <v>30</v>
      </c>
      <c r="B15" s="12"/>
      <c r="C15" s="13" t="n">
        <f aca="false">SUM(C9:C14)</f>
        <v>1660</v>
      </c>
      <c r="D15" s="13" t="n">
        <f aca="false">SUM(D9:D14)</f>
        <v>138</v>
      </c>
    </row>
    <row r="33" customFormat="false" ht="24" hidden="false" customHeight="true" outlineLevel="0" collapsed="false">
      <c r="A33" s="14" t="s">
        <v>31</v>
      </c>
      <c r="B33" s="14"/>
      <c r="C33" s="14"/>
      <c r="D33" s="14"/>
    </row>
    <row r="34" customFormat="false" ht="19.5" hidden="false" customHeight="true" outlineLevel="0" collapsed="false">
      <c r="A34" s="6" t="s">
        <v>32</v>
      </c>
      <c r="B34" s="6" t="s">
        <v>33</v>
      </c>
      <c r="C34" s="6" t="s">
        <v>34</v>
      </c>
      <c r="D34" s="6" t="s">
        <v>35</v>
      </c>
    </row>
    <row r="35" customFormat="false" ht="18" hidden="false" customHeight="true" outlineLevel="0" collapsed="false">
      <c r="A35" s="11" t="s">
        <v>36</v>
      </c>
      <c r="B35" s="11" t="s">
        <v>37</v>
      </c>
      <c r="C35" s="11" t="s">
        <v>38</v>
      </c>
      <c r="D35" s="11" t="s">
        <v>39</v>
      </c>
    </row>
    <row r="36" customFormat="false" ht="18" hidden="false" customHeight="true" outlineLevel="0" collapsed="false">
      <c r="A36" s="9" t="s">
        <v>40</v>
      </c>
      <c r="B36" s="9" t="s">
        <v>41</v>
      </c>
      <c r="C36" s="9" t="s">
        <v>42</v>
      </c>
      <c r="D36" s="9" t="s">
        <v>43</v>
      </c>
    </row>
    <row r="37" customFormat="false" ht="18" hidden="false" customHeight="true" outlineLevel="0" collapsed="false">
      <c r="A37" s="11" t="s">
        <v>44</v>
      </c>
      <c r="B37" s="11" t="s">
        <v>45</v>
      </c>
      <c r="C37" s="11" t="s">
        <v>46</v>
      </c>
      <c r="D37" s="11" t="s">
        <v>47</v>
      </c>
    </row>
    <row r="38" customFormat="false" ht="18" hidden="false" customHeight="true" outlineLevel="0" collapsed="false">
      <c r="A38" s="9" t="s">
        <v>48</v>
      </c>
      <c r="B38" s="9" t="s">
        <v>49</v>
      </c>
      <c r="C38" s="9" t="s">
        <v>42</v>
      </c>
      <c r="D38" s="9" t="s">
        <v>50</v>
      </c>
    </row>
    <row r="39" customFormat="false" ht="18" hidden="false" customHeight="true" outlineLevel="0" collapsed="false">
      <c r="A39" s="11" t="s">
        <v>51</v>
      </c>
      <c r="B39" s="11" t="s">
        <v>52</v>
      </c>
      <c r="C39" s="11" t="s">
        <v>53</v>
      </c>
      <c r="D39" s="11" t="s">
        <v>54</v>
      </c>
    </row>
    <row r="40" customFormat="false" ht="21.75" hidden="false" customHeight="true" outlineLevel="0" collapsed="false">
      <c r="A40" s="15" t="s">
        <v>55</v>
      </c>
      <c r="B40" s="15"/>
      <c r="C40" s="15"/>
      <c r="D40" s="15"/>
    </row>
  </sheetData>
  <mergeCells count="11">
    <mergeCell ref="A1:J1"/>
    <mergeCell ref="A2:J2"/>
    <mergeCell ref="A4:B5"/>
    <mergeCell ref="C4:D5"/>
    <mergeCell ref="E4:F5"/>
    <mergeCell ref="G4:H5"/>
    <mergeCell ref="I4:J5"/>
    <mergeCell ref="A7:J7"/>
    <mergeCell ref="A15:B15"/>
    <mergeCell ref="A33:D33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2"/>
    <col collapsed="false" customWidth="true" hidden="false" outlineLevel="0" max="5" min="3" style="1" width="14"/>
  </cols>
  <sheetData>
    <row r="1" customFormat="false" ht="45" hidden="false" customHeight="true" outlineLevel="0" collapsed="false">
      <c r="A1" s="16" t="s">
        <v>56</v>
      </c>
      <c r="B1" s="16"/>
      <c r="C1" s="16"/>
      <c r="D1" s="16"/>
      <c r="E1" s="16"/>
      <c r="F1" s="16"/>
      <c r="G1" s="16"/>
    </row>
    <row r="3" customFormat="false" ht="25.5" hidden="false" customHeight="true" outlineLevel="0" collapsed="false">
      <c r="A3" s="17" t="s">
        <v>57</v>
      </c>
      <c r="B3" s="17"/>
      <c r="C3" s="17"/>
      <c r="D3" s="17"/>
      <c r="E3" s="17"/>
    </row>
    <row r="4" customFormat="false" ht="19.5" hidden="false" customHeight="true" outlineLevel="0" collapsed="false">
      <c r="A4" s="6" t="s">
        <v>58</v>
      </c>
      <c r="B4" s="6" t="s">
        <v>59</v>
      </c>
      <c r="C4" s="6" t="s">
        <v>60</v>
      </c>
      <c r="D4" s="6" t="s">
        <v>61</v>
      </c>
      <c r="E4" s="6" t="s">
        <v>11</v>
      </c>
    </row>
    <row r="5" customFormat="false" ht="18" hidden="false" customHeight="true" outlineLevel="0" collapsed="false">
      <c r="A5" s="9" t="s">
        <v>62</v>
      </c>
      <c r="B5" s="9" t="s">
        <v>63</v>
      </c>
      <c r="C5" s="9" t="s">
        <v>64</v>
      </c>
      <c r="D5" s="9" t="n">
        <v>300</v>
      </c>
      <c r="E5" s="9" t="n">
        <v>40</v>
      </c>
    </row>
    <row r="6" customFormat="false" ht="18" hidden="false" customHeight="true" outlineLevel="0" collapsed="false">
      <c r="A6" s="18"/>
      <c r="B6" s="11" t="s">
        <v>65</v>
      </c>
      <c r="C6" s="11" t="s">
        <v>66</v>
      </c>
      <c r="D6" s="11" t="n">
        <v>200</v>
      </c>
      <c r="E6" s="11" t="n">
        <v>4</v>
      </c>
    </row>
    <row r="7" customFormat="false" ht="18" hidden="false" customHeight="true" outlineLevel="0" collapsed="false">
      <c r="A7" s="19"/>
      <c r="B7" s="9" t="s">
        <v>67</v>
      </c>
      <c r="C7" s="9" t="s">
        <v>68</v>
      </c>
      <c r="D7" s="9" t="n">
        <v>80</v>
      </c>
      <c r="E7" s="9" t="n">
        <v>3</v>
      </c>
    </row>
    <row r="8" customFormat="false" ht="18" hidden="false" customHeight="true" outlineLevel="0" collapsed="false">
      <c r="A8" s="18"/>
      <c r="B8" s="11" t="s">
        <v>69</v>
      </c>
      <c r="C8" s="11" t="s">
        <v>70</v>
      </c>
      <c r="D8" s="11" t="n">
        <v>40</v>
      </c>
      <c r="E8" s="11" t="n">
        <v>0</v>
      </c>
    </row>
    <row r="9" customFormat="false" ht="18" hidden="false" customHeight="true" outlineLevel="0" collapsed="false">
      <c r="A9" s="13" t="s">
        <v>71</v>
      </c>
      <c r="B9" s="20"/>
      <c r="C9" s="20"/>
      <c r="D9" s="13" t="n">
        <v>620</v>
      </c>
      <c r="E9" s="13" t="n">
        <v>47</v>
      </c>
    </row>
    <row r="10" customFormat="false" ht="18" hidden="false" customHeight="true" outlineLevel="0" collapsed="false">
      <c r="A10" s="11" t="s">
        <v>72</v>
      </c>
      <c r="B10" s="11" t="s">
        <v>73</v>
      </c>
      <c r="C10" s="11" t="s">
        <v>64</v>
      </c>
      <c r="D10" s="11" t="n">
        <v>360</v>
      </c>
      <c r="E10" s="11" t="n">
        <v>35</v>
      </c>
    </row>
    <row r="11" customFormat="false" ht="18" hidden="false" customHeight="true" outlineLevel="0" collapsed="false">
      <c r="A11" s="19"/>
      <c r="B11" s="9" t="s">
        <v>74</v>
      </c>
      <c r="C11" s="9" t="s">
        <v>66</v>
      </c>
      <c r="D11" s="9" t="n">
        <v>220</v>
      </c>
      <c r="E11" s="9" t="n">
        <v>6</v>
      </c>
    </row>
    <row r="12" customFormat="false" ht="18" hidden="false" customHeight="true" outlineLevel="0" collapsed="false">
      <c r="A12" s="18"/>
      <c r="B12" s="11" t="s">
        <v>67</v>
      </c>
      <c r="C12" s="11" t="s">
        <v>68</v>
      </c>
      <c r="D12" s="11" t="n">
        <v>80</v>
      </c>
      <c r="E12" s="11" t="n">
        <v>3</v>
      </c>
    </row>
    <row r="13" customFormat="false" ht="18" hidden="false" customHeight="true" outlineLevel="0" collapsed="false">
      <c r="A13" s="13" t="s">
        <v>71</v>
      </c>
      <c r="B13" s="20"/>
      <c r="C13" s="20"/>
      <c r="D13" s="13" t="n">
        <v>660</v>
      </c>
      <c r="E13" s="13" t="n">
        <v>44</v>
      </c>
    </row>
    <row r="14" customFormat="false" ht="18" hidden="false" customHeight="true" outlineLevel="0" collapsed="false">
      <c r="A14" s="11" t="s">
        <v>75</v>
      </c>
      <c r="B14" s="11" t="s">
        <v>76</v>
      </c>
      <c r="C14" s="11" t="s">
        <v>77</v>
      </c>
      <c r="D14" s="11" t="n">
        <v>530</v>
      </c>
      <c r="E14" s="11" t="n">
        <v>36</v>
      </c>
    </row>
    <row r="15" customFormat="false" ht="18" hidden="false" customHeight="true" outlineLevel="0" collapsed="false">
      <c r="A15" s="19"/>
      <c r="B15" s="9" t="s">
        <v>78</v>
      </c>
      <c r="C15" s="9" t="s">
        <v>79</v>
      </c>
      <c r="D15" s="9" t="n">
        <v>240</v>
      </c>
      <c r="E15" s="9" t="n">
        <v>6</v>
      </c>
    </row>
    <row r="16" customFormat="false" ht="18" hidden="false" customHeight="true" outlineLevel="0" collapsed="false">
      <c r="A16" s="18"/>
      <c r="B16" s="11" t="s">
        <v>67</v>
      </c>
      <c r="C16" s="11" t="s">
        <v>68</v>
      </c>
      <c r="D16" s="11" t="n">
        <v>80</v>
      </c>
      <c r="E16" s="11" t="n">
        <v>3</v>
      </c>
    </row>
    <row r="17" customFormat="false" ht="18" hidden="false" customHeight="true" outlineLevel="0" collapsed="false">
      <c r="A17" s="13" t="s">
        <v>71</v>
      </c>
      <c r="B17" s="20"/>
      <c r="C17" s="20"/>
      <c r="D17" s="13" t="n">
        <v>850</v>
      </c>
      <c r="E17" s="13" t="n">
        <v>45</v>
      </c>
    </row>
    <row r="19" customFormat="false" ht="25.5" hidden="false" customHeight="true" outlineLevel="0" collapsed="false">
      <c r="A19" s="21" t="s">
        <v>80</v>
      </c>
      <c r="B19" s="21"/>
      <c r="C19" s="21"/>
      <c r="D19" s="21"/>
      <c r="E19" s="21"/>
    </row>
    <row r="20" customFormat="false" ht="19.5" hidden="false" customHeight="true" outlineLevel="0" collapsed="false">
      <c r="A20" s="6" t="s">
        <v>58</v>
      </c>
      <c r="B20" s="6" t="s">
        <v>59</v>
      </c>
      <c r="C20" s="6" t="s">
        <v>60</v>
      </c>
      <c r="D20" s="6" t="s">
        <v>61</v>
      </c>
      <c r="E20" s="6" t="s">
        <v>11</v>
      </c>
    </row>
    <row r="21" customFormat="false" ht="18" hidden="false" customHeight="true" outlineLevel="0" collapsed="false">
      <c r="A21" s="9" t="s">
        <v>81</v>
      </c>
      <c r="B21" s="9" t="s">
        <v>82</v>
      </c>
      <c r="C21" s="9" t="s">
        <v>77</v>
      </c>
      <c r="D21" s="9" t="n">
        <v>150</v>
      </c>
      <c r="E21" s="9" t="n">
        <v>18</v>
      </c>
    </row>
    <row r="22" customFormat="false" ht="18" hidden="false" customHeight="true" outlineLevel="0" collapsed="false">
      <c r="A22" s="18"/>
      <c r="B22" s="11" t="s">
        <v>83</v>
      </c>
      <c r="C22" s="11" t="s">
        <v>84</v>
      </c>
      <c r="D22" s="11" t="n">
        <v>80</v>
      </c>
      <c r="E22" s="11" t="n">
        <v>0</v>
      </c>
    </row>
    <row r="23" customFormat="false" ht="18" hidden="false" customHeight="true" outlineLevel="0" collapsed="false">
      <c r="A23" s="19"/>
      <c r="B23" s="9" t="s">
        <v>85</v>
      </c>
      <c r="C23" s="9" t="s">
        <v>86</v>
      </c>
      <c r="D23" s="9" t="n">
        <v>95</v>
      </c>
      <c r="E23" s="9" t="n">
        <v>4</v>
      </c>
    </row>
    <row r="24" customFormat="false" ht="18" hidden="false" customHeight="true" outlineLevel="0" collapsed="false">
      <c r="A24" s="13" t="s">
        <v>71</v>
      </c>
      <c r="B24" s="20"/>
      <c r="C24" s="20"/>
      <c r="D24" s="13" t="n">
        <v>325</v>
      </c>
      <c r="E24" s="13" t="n">
        <v>22</v>
      </c>
    </row>
    <row r="25" customFormat="false" ht="18" hidden="false" customHeight="true" outlineLevel="0" collapsed="false">
      <c r="A25" s="9" t="s">
        <v>87</v>
      </c>
      <c r="B25" s="9" t="s">
        <v>88</v>
      </c>
      <c r="C25" s="9" t="s">
        <v>89</v>
      </c>
      <c r="D25" s="9" t="n">
        <v>200</v>
      </c>
      <c r="E25" s="9" t="n">
        <v>20</v>
      </c>
    </row>
    <row r="26" customFormat="false" ht="18" hidden="false" customHeight="true" outlineLevel="0" collapsed="false">
      <c r="A26" s="18"/>
      <c r="B26" s="11" t="s">
        <v>90</v>
      </c>
      <c r="C26" s="11" t="s">
        <v>84</v>
      </c>
      <c r="D26" s="11" t="n">
        <v>80</v>
      </c>
      <c r="E26" s="11" t="n">
        <v>0</v>
      </c>
    </row>
    <row r="27" customFormat="false" ht="18" hidden="false" customHeight="true" outlineLevel="0" collapsed="false">
      <c r="A27" s="13" t="s">
        <v>71</v>
      </c>
      <c r="B27" s="20"/>
      <c r="C27" s="20"/>
      <c r="D27" s="13" t="n">
        <v>280</v>
      </c>
      <c r="E27" s="13" t="n">
        <v>20</v>
      </c>
    </row>
    <row r="29" customFormat="false" ht="25.5" hidden="false" customHeight="true" outlineLevel="0" collapsed="false">
      <c r="A29" s="22" t="s">
        <v>91</v>
      </c>
      <c r="B29" s="22"/>
      <c r="C29" s="22"/>
      <c r="D29" s="22"/>
      <c r="E29" s="22"/>
    </row>
    <row r="30" customFormat="false" ht="19.5" hidden="false" customHeight="true" outlineLevel="0" collapsed="false">
      <c r="A30" s="6" t="s">
        <v>58</v>
      </c>
      <c r="B30" s="6" t="s">
        <v>59</v>
      </c>
      <c r="C30" s="6" t="s">
        <v>60</v>
      </c>
      <c r="D30" s="6" t="s">
        <v>61</v>
      </c>
      <c r="E30" s="6" t="s">
        <v>11</v>
      </c>
    </row>
    <row r="31" customFormat="false" ht="18" hidden="false" customHeight="true" outlineLevel="0" collapsed="false">
      <c r="A31" s="9" t="s">
        <v>92</v>
      </c>
      <c r="B31" s="9" t="s">
        <v>63</v>
      </c>
      <c r="C31" s="9" t="s">
        <v>93</v>
      </c>
      <c r="D31" s="9" t="n">
        <v>250</v>
      </c>
      <c r="E31" s="9" t="n">
        <v>35</v>
      </c>
    </row>
    <row r="32" customFormat="false" ht="18" hidden="false" customHeight="true" outlineLevel="0" collapsed="false">
      <c r="A32" s="18"/>
      <c r="B32" s="11" t="s">
        <v>67</v>
      </c>
      <c r="C32" s="11" t="s">
        <v>68</v>
      </c>
      <c r="D32" s="11" t="n">
        <v>80</v>
      </c>
      <c r="E32" s="11" t="n">
        <v>3</v>
      </c>
    </row>
    <row r="33" customFormat="false" ht="18" hidden="false" customHeight="true" outlineLevel="0" collapsed="false">
      <c r="A33" s="19"/>
      <c r="B33" s="9" t="s">
        <v>65</v>
      </c>
      <c r="C33" s="9" t="s">
        <v>94</v>
      </c>
      <c r="D33" s="9" t="n">
        <v>100</v>
      </c>
      <c r="E33" s="9" t="n">
        <v>2</v>
      </c>
    </row>
    <row r="34" customFormat="false" ht="18" hidden="false" customHeight="true" outlineLevel="0" collapsed="false">
      <c r="A34" s="13" t="s">
        <v>71</v>
      </c>
      <c r="B34" s="20"/>
      <c r="C34" s="20"/>
      <c r="D34" s="13" t="n">
        <v>430</v>
      </c>
      <c r="E34" s="13" t="n">
        <v>40</v>
      </c>
    </row>
    <row r="35" customFormat="false" ht="18" hidden="false" customHeight="true" outlineLevel="0" collapsed="false">
      <c r="A35" s="9" t="s">
        <v>95</v>
      </c>
      <c r="B35" s="9" t="s">
        <v>73</v>
      </c>
      <c r="C35" s="9" t="s">
        <v>64</v>
      </c>
      <c r="D35" s="9" t="n">
        <v>360</v>
      </c>
      <c r="E35" s="9" t="n">
        <v>35</v>
      </c>
    </row>
    <row r="36" customFormat="false" ht="18" hidden="false" customHeight="true" outlineLevel="0" collapsed="false">
      <c r="A36" s="18"/>
      <c r="B36" s="11" t="s">
        <v>67</v>
      </c>
      <c r="C36" s="11" t="s">
        <v>68</v>
      </c>
      <c r="D36" s="11" t="n">
        <v>80</v>
      </c>
      <c r="E36" s="11" t="n">
        <v>3</v>
      </c>
    </row>
    <row r="37" customFormat="false" ht="18" hidden="false" customHeight="true" outlineLevel="0" collapsed="false">
      <c r="A37" s="13" t="s">
        <v>71</v>
      </c>
      <c r="B37" s="20"/>
      <c r="C37" s="20"/>
      <c r="D37" s="13" t="n">
        <v>440</v>
      </c>
      <c r="E37" s="13" t="n">
        <v>38</v>
      </c>
    </row>
    <row r="38" customFormat="false" ht="18" hidden="false" customHeight="true" outlineLevel="0" collapsed="false">
      <c r="A38" s="11" t="s">
        <v>96</v>
      </c>
      <c r="B38" s="11" t="s">
        <v>97</v>
      </c>
      <c r="C38" s="11" t="s">
        <v>98</v>
      </c>
      <c r="D38" s="11" t="n">
        <v>300</v>
      </c>
      <c r="E38" s="11" t="n">
        <v>30</v>
      </c>
    </row>
    <row r="39" customFormat="false" ht="18" hidden="false" customHeight="true" outlineLevel="0" collapsed="false">
      <c r="A39" s="19"/>
      <c r="B39" s="9" t="s">
        <v>67</v>
      </c>
      <c r="C39" s="9" t="s">
        <v>68</v>
      </c>
      <c r="D39" s="9" t="n">
        <v>80</v>
      </c>
      <c r="E39" s="9" t="n">
        <v>3</v>
      </c>
    </row>
    <row r="40" customFormat="false" ht="18" hidden="false" customHeight="true" outlineLevel="0" collapsed="false">
      <c r="A40" s="18"/>
      <c r="B40" s="11" t="s">
        <v>78</v>
      </c>
      <c r="C40" s="11" t="s">
        <v>99</v>
      </c>
      <c r="D40" s="11" t="n">
        <v>120</v>
      </c>
      <c r="E40" s="11" t="n">
        <v>3</v>
      </c>
    </row>
    <row r="41" customFormat="false" ht="18" hidden="false" customHeight="true" outlineLevel="0" collapsed="false">
      <c r="A41" s="13" t="s">
        <v>71</v>
      </c>
      <c r="B41" s="20"/>
      <c r="C41" s="20"/>
      <c r="D41" s="13" t="n">
        <v>500</v>
      </c>
      <c r="E41" s="13" t="n">
        <v>36</v>
      </c>
    </row>
    <row r="43" customFormat="false" ht="25.5" hidden="false" customHeight="true" outlineLevel="0" collapsed="false">
      <c r="A43" s="23" t="s">
        <v>100</v>
      </c>
      <c r="B43" s="23"/>
      <c r="C43" s="23"/>
      <c r="D43" s="23"/>
      <c r="E43" s="23"/>
    </row>
    <row r="44" customFormat="false" ht="19.5" hidden="false" customHeight="true" outlineLevel="0" collapsed="false">
      <c r="A44" s="6" t="s">
        <v>101</v>
      </c>
      <c r="B44" s="6" t="s">
        <v>59</v>
      </c>
      <c r="C44" s="6" t="s">
        <v>60</v>
      </c>
      <c r="D44" s="6" t="s">
        <v>61</v>
      </c>
      <c r="E44" s="6" t="s">
        <v>11</v>
      </c>
    </row>
    <row r="45" customFormat="false" ht="18" hidden="false" customHeight="true" outlineLevel="0" collapsed="false">
      <c r="A45" s="9" t="s">
        <v>102</v>
      </c>
      <c r="B45" s="9" t="s">
        <v>103</v>
      </c>
      <c r="C45" s="9" t="s">
        <v>66</v>
      </c>
      <c r="D45" s="9" t="n">
        <v>5</v>
      </c>
      <c r="E45" s="9" t="n">
        <v>0</v>
      </c>
    </row>
    <row r="46" customFormat="false" ht="18" hidden="false" customHeight="true" outlineLevel="0" collapsed="false">
      <c r="A46" s="11" t="s">
        <v>102</v>
      </c>
      <c r="B46" s="11" t="s">
        <v>104</v>
      </c>
      <c r="C46" s="11" t="s">
        <v>105</v>
      </c>
      <c r="D46" s="11" t="n">
        <v>50</v>
      </c>
      <c r="E46" s="11" t="n">
        <v>0</v>
      </c>
    </row>
    <row r="47" customFormat="false" ht="18" hidden="false" customHeight="true" outlineLevel="0" collapsed="false">
      <c r="A47" s="9" t="s">
        <v>106</v>
      </c>
      <c r="B47" s="9" t="s">
        <v>107</v>
      </c>
      <c r="C47" s="9" t="s">
        <v>108</v>
      </c>
      <c r="D47" s="9" t="n">
        <v>130</v>
      </c>
      <c r="E47" s="9" t="n">
        <v>28</v>
      </c>
    </row>
    <row r="48" customFormat="false" ht="18" hidden="false" customHeight="true" outlineLevel="0" collapsed="false">
      <c r="A48" s="11" t="s">
        <v>106</v>
      </c>
      <c r="B48" s="11" t="s">
        <v>109</v>
      </c>
      <c r="C48" s="11" t="s">
        <v>110</v>
      </c>
      <c r="D48" s="11" t="n">
        <v>250</v>
      </c>
      <c r="E48" s="11" t="n">
        <v>36</v>
      </c>
    </row>
  </sheetData>
  <mergeCells count="5">
    <mergeCell ref="A1:G1"/>
    <mergeCell ref="A3:E3"/>
    <mergeCell ref="A19:E19"/>
    <mergeCell ref="A29:E29"/>
    <mergeCell ref="A43:E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8" min="2" style="1" width="14"/>
  </cols>
  <sheetData>
    <row r="1" customFormat="false" ht="45" hidden="false" customHeight="true" outlineLevel="0" collapsed="false">
      <c r="A1" s="24" t="s">
        <v>111</v>
      </c>
      <c r="B1" s="24"/>
      <c r="C1" s="24"/>
      <c r="D1" s="24"/>
      <c r="E1" s="24"/>
      <c r="F1" s="24"/>
      <c r="G1" s="24"/>
      <c r="H1" s="24"/>
    </row>
    <row r="2" customFormat="false" ht="25.5" hidden="false" customHeight="true" outlineLevel="0" collapsed="false">
      <c r="A2" s="25"/>
      <c r="B2" s="26" t="s">
        <v>112</v>
      </c>
      <c r="C2" s="27" t="s">
        <v>113</v>
      </c>
      <c r="D2" s="28" t="s">
        <v>114</v>
      </c>
      <c r="E2" s="29" t="s">
        <v>115</v>
      </c>
      <c r="F2" s="30" t="s">
        <v>116</v>
      </c>
      <c r="G2" s="31" t="s">
        <v>117</v>
      </c>
      <c r="H2" s="32" t="s">
        <v>118</v>
      </c>
    </row>
    <row r="3" customFormat="false" ht="21.75" hidden="false" customHeight="true" outlineLevel="0" collapsed="false">
      <c r="A3" s="33" t="s">
        <v>15</v>
      </c>
      <c r="B3" s="34" t="s">
        <v>119</v>
      </c>
      <c r="C3" s="34" t="s">
        <v>120</v>
      </c>
      <c r="D3" s="34" t="s">
        <v>119</v>
      </c>
      <c r="E3" s="34" t="s">
        <v>121</v>
      </c>
      <c r="F3" s="34" t="s">
        <v>120</v>
      </c>
      <c r="G3" s="34" t="s">
        <v>119</v>
      </c>
      <c r="H3" s="34" t="s">
        <v>120</v>
      </c>
    </row>
    <row r="4" customFormat="false" ht="21.75" hidden="false" customHeight="true" outlineLevel="0" collapsed="false">
      <c r="A4" s="35" t="s">
        <v>18</v>
      </c>
      <c r="B4" s="36" t="s">
        <v>122</v>
      </c>
      <c r="C4" s="36" t="s">
        <v>123</v>
      </c>
      <c r="D4" s="36" t="s">
        <v>122</v>
      </c>
      <c r="E4" s="36" t="s">
        <v>123</v>
      </c>
      <c r="F4" s="36" t="s">
        <v>122</v>
      </c>
      <c r="G4" s="36" t="s">
        <v>123</v>
      </c>
      <c r="H4" s="36" t="s">
        <v>122</v>
      </c>
    </row>
    <row r="5" customFormat="false" ht="21.75" hidden="false" customHeight="true" outlineLevel="0" collapsed="false">
      <c r="A5" s="37" t="s">
        <v>124</v>
      </c>
      <c r="B5" s="34" t="s">
        <v>125</v>
      </c>
      <c r="C5" s="34" t="s">
        <v>125</v>
      </c>
      <c r="D5" s="34" t="s">
        <v>125</v>
      </c>
      <c r="E5" s="34" t="s">
        <v>125</v>
      </c>
      <c r="F5" s="34" t="s">
        <v>125</v>
      </c>
      <c r="G5" s="34" t="s">
        <v>125</v>
      </c>
      <c r="H5" s="34" t="s">
        <v>125</v>
      </c>
    </row>
    <row r="6" customFormat="false" ht="21.75" hidden="false" customHeight="true" outlineLevel="0" collapsed="false">
      <c r="A6" s="37" t="s">
        <v>126</v>
      </c>
      <c r="B6" s="36" t="s">
        <v>127</v>
      </c>
      <c r="C6" s="36" t="s">
        <v>127</v>
      </c>
      <c r="D6" s="36" t="s">
        <v>127</v>
      </c>
      <c r="E6" s="36" t="s">
        <v>127</v>
      </c>
      <c r="F6" s="36" t="s">
        <v>127</v>
      </c>
      <c r="G6" s="36" t="s">
        <v>127</v>
      </c>
      <c r="H6" s="36" t="s">
        <v>127</v>
      </c>
    </row>
    <row r="7" customFormat="false" ht="21.75" hidden="false" customHeight="true" outlineLevel="0" collapsed="false">
      <c r="A7" s="38" t="s">
        <v>24</v>
      </c>
      <c r="B7" s="34" t="s">
        <v>128</v>
      </c>
      <c r="C7" s="34" t="s">
        <v>73</v>
      </c>
      <c r="D7" s="34" t="s">
        <v>128</v>
      </c>
      <c r="E7" s="34" t="s">
        <v>97</v>
      </c>
      <c r="F7" s="34" t="s">
        <v>73</v>
      </c>
      <c r="G7" s="34" t="s">
        <v>128</v>
      </c>
      <c r="H7" s="34" t="s">
        <v>97</v>
      </c>
    </row>
    <row r="8" customFormat="false" ht="21.75" hidden="false" customHeight="true" outlineLevel="0" collapsed="false">
      <c r="A8" s="20" t="s">
        <v>129</v>
      </c>
      <c r="B8" s="36" t="s">
        <v>130</v>
      </c>
      <c r="C8" s="36" t="s">
        <v>131</v>
      </c>
      <c r="D8" s="36" t="s">
        <v>132</v>
      </c>
      <c r="E8" s="36" t="s">
        <v>130</v>
      </c>
      <c r="F8" s="36" t="s">
        <v>132</v>
      </c>
      <c r="G8" s="36" t="s">
        <v>131</v>
      </c>
      <c r="H8" s="36" t="s">
        <v>131</v>
      </c>
    </row>
    <row r="9" customFormat="false" ht="21.75" hidden="false" customHeight="true" outlineLevel="0" collapsed="false">
      <c r="A9" s="39" t="s">
        <v>133</v>
      </c>
      <c r="B9" s="34" t="s">
        <v>134</v>
      </c>
      <c r="C9" s="34" t="s">
        <v>135</v>
      </c>
      <c r="D9" s="34" t="s">
        <v>136</v>
      </c>
      <c r="E9" s="34" t="s">
        <v>137</v>
      </c>
      <c r="F9" s="34" t="s">
        <v>136</v>
      </c>
      <c r="G9" s="34" t="s">
        <v>138</v>
      </c>
      <c r="H9" s="34" t="s">
        <v>139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7"/>
    <col collapsed="false" customWidth="true" hidden="false" outlineLevel="0" max="3" min="3" style="1" width="30"/>
    <col collapsed="false" customWidth="true" hidden="false" outlineLevel="0" max="4" min="4" style="1" width="60"/>
  </cols>
  <sheetData>
    <row r="1" customFormat="false" ht="45" hidden="false" customHeight="true" outlineLevel="0" collapsed="false">
      <c r="A1" s="24" t="s">
        <v>140</v>
      </c>
      <c r="B1" s="24"/>
      <c r="C1" s="24"/>
      <c r="D1" s="24"/>
      <c r="E1" s="24"/>
    </row>
    <row r="3" customFormat="false" ht="24" hidden="false" customHeight="true" outlineLevel="0" collapsed="false">
      <c r="A3" s="40" t="s">
        <v>141</v>
      </c>
      <c r="B3" s="40"/>
      <c r="C3" s="40"/>
      <c r="D3" s="40"/>
      <c r="E3" s="40"/>
    </row>
    <row r="4" customFormat="false" ht="19.5" hidden="false" customHeight="true" outlineLevel="0" collapsed="false">
      <c r="A4" s="41" t="s">
        <v>142</v>
      </c>
      <c r="B4" s="41" t="s">
        <v>143</v>
      </c>
      <c r="C4" s="41" t="s">
        <v>144</v>
      </c>
      <c r="D4" s="41" t="s">
        <v>145</v>
      </c>
    </row>
    <row r="5" customFormat="false" ht="21.75" hidden="false" customHeight="true" outlineLevel="0" collapsed="false">
      <c r="A5" s="19" t="n">
        <v>1</v>
      </c>
      <c r="B5" s="19" t="s">
        <v>146</v>
      </c>
      <c r="C5" s="42" t="s">
        <v>147</v>
      </c>
      <c r="D5" s="43" t="s">
        <v>148</v>
      </c>
    </row>
    <row r="6" customFormat="false" ht="21.75" hidden="false" customHeight="true" outlineLevel="0" collapsed="false">
      <c r="A6" s="18" t="n">
        <v>2</v>
      </c>
      <c r="B6" s="18" t="s">
        <v>149</v>
      </c>
      <c r="C6" s="44" t="s">
        <v>150</v>
      </c>
      <c r="D6" s="45" t="s">
        <v>151</v>
      </c>
    </row>
    <row r="7" customFormat="false" ht="21.75" hidden="false" customHeight="true" outlineLevel="0" collapsed="false">
      <c r="A7" s="19" t="n">
        <v>3</v>
      </c>
      <c r="B7" s="19" t="s">
        <v>152</v>
      </c>
      <c r="C7" s="42" t="s">
        <v>153</v>
      </c>
      <c r="D7" s="43" t="s">
        <v>154</v>
      </c>
    </row>
    <row r="8" customFormat="false" ht="21.75" hidden="false" customHeight="true" outlineLevel="0" collapsed="false">
      <c r="A8" s="18" t="n">
        <v>4</v>
      </c>
      <c r="B8" s="18" t="s">
        <v>155</v>
      </c>
      <c r="C8" s="44" t="s">
        <v>156</v>
      </c>
      <c r="D8" s="45" t="s">
        <v>157</v>
      </c>
    </row>
    <row r="9" customFormat="false" ht="21.75" hidden="false" customHeight="true" outlineLevel="0" collapsed="false">
      <c r="A9" s="19" t="n">
        <v>5</v>
      </c>
      <c r="B9" s="19" t="s">
        <v>158</v>
      </c>
      <c r="C9" s="42" t="s">
        <v>159</v>
      </c>
      <c r="D9" s="43" t="s">
        <v>160</v>
      </c>
    </row>
    <row r="10" customFormat="false" ht="21.75" hidden="false" customHeight="true" outlineLevel="0" collapsed="false">
      <c r="A10" s="18" t="n">
        <v>6</v>
      </c>
      <c r="B10" s="18" t="s">
        <v>161</v>
      </c>
      <c r="C10" s="44" t="s">
        <v>162</v>
      </c>
      <c r="D10" s="45" t="s">
        <v>163</v>
      </c>
    </row>
    <row r="11" customFormat="false" ht="21.75" hidden="false" customHeight="true" outlineLevel="0" collapsed="false">
      <c r="A11" s="19" t="n">
        <v>7</v>
      </c>
      <c r="B11" s="19" t="s">
        <v>164</v>
      </c>
      <c r="C11" s="42" t="s">
        <v>165</v>
      </c>
      <c r="D11" s="43" t="s">
        <v>166</v>
      </c>
    </row>
    <row r="12" customFormat="false" ht="21.75" hidden="false" customHeight="true" outlineLevel="0" collapsed="false">
      <c r="A12" s="18" t="n">
        <v>8</v>
      </c>
      <c r="B12" s="18" t="s">
        <v>167</v>
      </c>
      <c r="C12" s="44" t="s">
        <v>168</v>
      </c>
      <c r="D12" s="45" t="s">
        <v>169</v>
      </c>
    </row>
    <row r="13" customFormat="false" ht="21.75" hidden="false" customHeight="true" outlineLevel="0" collapsed="false">
      <c r="A13" s="19" t="n">
        <v>9</v>
      </c>
      <c r="B13" s="19" t="s">
        <v>170</v>
      </c>
      <c r="C13" s="42" t="s">
        <v>171</v>
      </c>
      <c r="D13" s="43" t="s">
        <v>172</v>
      </c>
    </row>
    <row r="14" customFormat="false" ht="21.75" hidden="false" customHeight="true" outlineLevel="0" collapsed="false">
      <c r="A14" s="18" t="n">
        <v>10</v>
      </c>
      <c r="B14" s="18" t="s">
        <v>173</v>
      </c>
      <c r="C14" s="44" t="s">
        <v>174</v>
      </c>
      <c r="D14" s="45" t="s">
        <v>175</v>
      </c>
    </row>
  </sheetData>
  <mergeCells count="2">
    <mergeCell ref="A1:E1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0"/>
    <col collapsed="false" customWidth="true" hidden="false" outlineLevel="0" max="3" min="3" style="1" width="13"/>
    <col collapsed="false" customWidth="true" hidden="false" outlineLevel="0" max="4" min="4" style="1" width="15"/>
    <col collapsed="false" customWidth="true" hidden="false" outlineLevel="0" max="8" min="5" style="1" width="13"/>
    <col collapsed="false" customWidth="true" hidden="false" outlineLevel="0" max="10" min="9" style="1" width="14"/>
    <col collapsed="false" customWidth="true" hidden="false" outlineLevel="0" max="12" min="11" style="1" width="15"/>
    <col collapsed="false" customWidth="true" hidden="false" outlineLevel="0" max="13" min="13" style="1" width="22"/>
  </cols>
  <sheetData>
    <row r="1" customFormat="false" ht="49.5" hidden="false" customHeight="true" outlineLevel="0" collapsed="false">
      <c r="A1" s="46" t="s">
        <v>176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customFormat="false" ht="21.75" hidden="false" customHeight="true" outlineLevel="0" collapsed="false">
      <c r="A2" s="47" t="s">
        <v>177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customFormat="false" ht="18" hidden="false" customHeight="true" outlineLevel="0" collapsed="false">
      <c r="A3" s="48" t="s">
        <v>178</v>
      </c>
      <c r="B3" s="48"/>
      <c r="C3" s="48"/>
      <c r="D3" s="48" t="s">
        <v>179</v>
      </c>
      <c r="E3" s="48"/>
      <c r="F3" s="48"/>
      <c r="G3" s="48"/>
      <c r="H3" s="48"/>
      <c r="I3" s="48"/>
      <c r="J3" s="48"/>
      <c r="K3" s="48"/>
      <c r="L3" s="48"/>
      <c r="M3" s="48"/>
    </row>
    <row r="4" customFormat="false" ht="34.5" hidden="false" customHeight="true" outlineLevel="0" collapsed="false">
      <c r="A4" s="49" t="s">
        <v>180</v>
      </c>
      <c r="B4" s="49" t="s">
        <v>181</v>
      </c>
      <c r="C4" s="50" t="s">
        <v>182</v>
      </c>
      <c r="D4" s="51" t="s">
        <v>183</v>
      </c>
      <c r="E4" s="52" t="s">
        <v>184</v>
      </c>
      <c r="F4" s="53" t="s">
        <v>185</v>
      </c>
      <c r="G4" s="54" t="s">
        <v>186</v>
      </c>
      <c r="H4" s="55" t="s">
        <v>187</v>
      </c>
      <c r="I4" s="49" t="s">
        <v>188</v>
      </c>
      <c r="J4" s="56" t="s">
        <v>189</v>
      </c>
      <c r="K4" s="51" t="s">
        <v>190</v>
      </c>
      <c r="L4" s="51" t="s">
        <v>191</v>
      </c>
      <c r="M4" s="49" t="s">
        <v>133</v>
      </c>
    </row>
    <row r="5" customFormat="false" ht="21.75" hidden="false" customHeight="true" outlineLevel="0" collapsed="false">
      <c r="A5" s="57" t="n">
        <v>46149</v>
      </c>
      <c r="B5" s="11" t="s">
        <v>192</v>
      </c>
      <c r="C5" s="58"/>
      <c r="D5" s="59" t="n">
        <f aca="false">IF(C5="✓",2000,1730)</f>
        <v>1730</v>
      </c>
      <c r="E5" s="60"/>
      <c r="F5" s="60"/>
      <c r="G5" s="60"/>
      <c r="H5" s="60"/>
      <c r="I5" s="61" t="n">
        <f aca="false">IFERROR(SUM(E5:H5),0)</f>
        <v>0</v>
      </c>
      <c r="J5" s="62"/>
      <c r="K5" s="11" t="str">
        <f aca="false">IFERROR(IF(J5="","",IF(J5&gt;=D5,"✅ Yes",IF(J5&gt;=D5-200,"🟡 Close","❌ No"))),"" )</f>
        <v/>
      </c>
      <c r="L5" s="11" t="str">
        <f aca="false">IFERROR(IF(I5=0,"",IF(I5&gt;=110,"✅ Yes",IF(I5&gt;=95,"🟡 Close","❌ No"))),"" )</f>
        <v/>
      </c>
      <c r="M5" s="10"/>
    </row>
    <row r="6" customFormat="false" ht="21.75" hidden="false" customHeight="true" outlineLevel="0" collapsed="false">
      <c r="A6" s="63" t="n">
        <v>46150</v>
      </c>
      <c r="B6" s="9" t="s">
        <v>193</v>
      </c>
      <c r="C6" s="64" t="s">
        <v>194</v>
      </c>
      <c r="D6" s="59" t="n">
        <f aca="false">IF(C6="✓",2000,1730)</f>
        <v>2000</v>
      </c>
      <c r="E6" s="65"/>
      <c r="F6" s="66"/>
      <c r="G6" s="67"/>
      <c r="H6" s="68"/>
      <c r="I6" s="61" t="n">
        <f aca="false">IFERROR(SUM(E6:H6),0)</f>
        <v>0</v>
      </c>
      <c r="J6" s="69"/>
      <c r="K6" s="9" t="str">
        <f aca="false">IFERROR(IF(J6="","",IF(J6&gt;=D6,"✅ Yes",IF(J6&gt;=D6-200,"🟡 Close","❌ No"))),"" )</f>
        <v/>
      </c>
      <c r="L6" s="9" t="str">
        <f aca="false">IFERROR(IF(I6=0,"",IF(I6&gt;=110,"✅ Yes",IF(I6&gt;=95,"🟡 Close","❌ No"))),"" )</f>
        <v/>
      </c>
      <c r="M6" s="8"/>
    </row>
    <row r="7" customFormat="false" ht="21.75" hidden="false" customHeight="true" outlineLevel="0" collapsed="false">
      <c r="A7" s="57" t="n">
        <v>46151</v>
      </c>
      <c r="B7" s="70" t="s">
        <v>195</v>
      </c>
      <c r="C7" s="58"/>
      <c r="D7" s="59" t="n">
        <f aca="false">IF(C7="✓",2000,1730)</f>
        <v>1730</v>
      </c>
      <c r="E7" s="60"/>
      <c r="F7" s="60"/>
      <c r="G7" s="60"/>
      <c r="H7" s="60"/>
      <c r="I7" s="61" t="n">
        <f aca="false">IFERROR(SUM(E7:H7),0)</f>
        <v>0</v>
      </c>
      <c r="J7" s="62"/>
      <c r="K7" s="11" t="str">
        <f aca="false">IFERROR(IF(J7="","",IF(J7&gt;=D7,"✅ Yes",IF(J7&gt;=D7-200,"🟡 Close","❌ No"))),"" )</f>
        <v/>
      </c>
      <c r="L7" s="11" t="str">
        <f aca="false">IFERROR(IF(I7=0,"",IF(I7&gt;=110,"✅ Yes",IF(I7&gt;=95,"🟡 Close","❌ No"))),"" )</f>
        <v/>
      </c>
      <c r="M7" s="10"/>
    </row>
    <row r="8" customFormat="false" ht="21.75" hidden="false" customHeight="true" outlineLevel="0" collapsed="false">
      <c r="A8" s="63" t="n">
        <v>46152</v>
      </c>
      <c r="B8" s="71" t="s">
        <v>196</v>
      </c>
      <c r="C8" s="64" t="s">
        <v>194</v>
      </c>
      <c r="D8" s="59" t="n">
        <f aca="false">IF(C8="✓",2000,1730)</f>
        <v>2000</v>
      </c>
      <c r="E8" s="65"/>
      <c r="F8" s="66"/>
      <c r="G8" s="67"/>
      <c r="H8" s="68"/>
      <c r="I8" s="61" t="n">
        <f aca="false">IFERROR(SUM(E8:H8),0)</f>
        <v>0</v>
      </c>
      <c r="J8" s="69"/>
      <c r="K8" s="9" t="str">
        <f aca="false">IFERROR(IF(J8="","",IF(J8&gt;=D8,"✅ Yes",IF(J8&gt;=D8-200,"🟡 Close","❌ No"))),"" )</f>
        <v/>
      </c>
      <c r="L8" s="9" t="str">
        <f aca="false">IFERROR(IF(I8=0,"",IF(I8&gt;=110,"✅ Yes",IF(I8&gt;=95,"🟡 Close","❌ No"))),"" )</f>
        <v/>
      </c>
      <c r="M8" s="8"/>
    </row>
    <row r="9" customFormat="false" ht="21.75" hidden="false" customHeight="true" outlineLevel="0" collapsed="false">
      <c r="A9" s="57" t="n">
        <v>46153</v>
      </c>
      <c r="B9" s="11" t="s">
        <v>197</v>
      </c>
      <c r="C9" s="64" t="s">
        <v>194</v>
      </c>
      <c r="D9" s="59" t="n">
        <f aca="false">IF(C9="✓",2000,1730)</f>
        <v>2000</v>
      </c>
      <c r="E9" s="60"/>
      <c r="F9" s="60"/>
      <c r="G9" s="60"/>
      <c r="H9" s="60"/>
      <c r="I9" s="61" t="n">
        <f aca="false">IFERROR(SUM(E9:H9),0)</f>
        <v>0</v>
      </c>
      <c r="J9" s="62"/>
      <c r="K9" s="11" t="str">
        <f aca="false">IFERROR(IF(J9="","",IF(J9&gt;=D9,"✅ Yes",IF(J9&gt;=D9-200,"🟡 Close","❌ No"))),"" )</f>
        <v/>
      </c>
      <c r="L9" s="11" t="str">
        <f aca="false">IFERROR(IF(I9=0,"",IF(I9&gt;=110,"✅ Yes",IF(I9&gt;=95,"🟡 Close","❌ No"))),"" )</f>
        <v/>
      </c>
      <c r="M9" s="10"/>
    </row>
    <row r="10" customFormat="false" ht="21.75" hidden="false" customHeight="true" outlineLevel="0" collapsed="false">
      <c r="A10" s="63" t="n">
        <v>46154</v>
      </c>
      <c r="B10" s="9" t="s">
        <v>198</v>
      </c>
      <c r="C10" s="72"/>
      <c r="D10" s="59" t="n">
        <f aca="false">IF(C10="✓",2000,1730)</f>
        <v>1730</v>
      </c>
      <c r="E10" s="65"/>
      <c r="F10" s="66"/>
      <c r="G10" s="67"/>
      <c r="H10" s="68"/>
      <c r="I10" s="61" t="n">
        <f aca="false">IFERROR(SUM(E10:H10),0)</f>
        <v>0</v>
      </c>
      <c r="J10" s="69"/>
      <c r="K10" s="9" t="str">
        <f aca="false">IFERROR(IF(J10="","",IF(J10&gt;=D10,"✅ Yes",IF(J10&gt;=D10-200,"🟡 Close","❌ No"))),"" )</f>
        <v/>
      </c>
      <c r="L10" s="9" t="str">
        <f aca="false">IFERROR(IF(I10=0,"",IF(I10&gt;=110,"✅ Yes",IF(I10&gt;=95,"🟡 Close","❌ No"))),"" )</f>
        <v/>
      </c>
      <c r="M10" s="8"/>
    </row>
    <row r="11" customFormat="false" ht="21.75" hidden="false" customHeight="true" outlineLevel="0" collapsed="false">
      <c r="A11" s="57" t="n">
        <v>46155</v>
      </c>
      <c r="B11" s="11" t="s">
        <v>199</v>
      </c>
      <c r="C11" s="64" t="s">
        <v>194</v>
      </c>
      <c r="D11" s="59" t="n">
        <f aca="false">IF(C11="✓",2000,1730)</f>
        <v>2000</v>
      </c>
      <c r="E11" s="60"/>
      <c r="F11" s="60"/>
      <c r="G11" s="60"/>
      <c r="H11" s="60"/>
      <c r="I11" s="61" t="n">
        <f aca="false">IFERROR(SUM(E11:H11),0)</f>
        <v>0</v>
      </c>
      <c r="J11" s="62"/>
      <c r="K11" s="11" t="str">
        <f aca="false">IFERROR(IF(J11="","",IF(J11&gt;=D11,"✅ Yes",IF(J11&gt;=D11-200,"🟡 Close","❌ No"))),"" )</f>
        <v/>
      </c>
      <c r="L11" s="11" t="str">
        <f aca="false">IFERROR(IF(I11=0,"",IF(I11&gt;=110,"✅ Yes",IF(I11&gt;=95,"🟡 Close","❌ No"))),"" )</f>
        <v/>
      </c>
      <c r="M11" s="10"/>
    </row>
    <row r="12" customFormat="false" ht="21.75" hidden="false" customHeight="true" outlineLevel="0" collapsed="false">
      <c r="A12" s="63" t="n">
        <v>46156</v>
      </c>
      <c r="B12" s="9" t="s">
        <v>192</v>
      </c>
      <c r="C12" s="72"/>
      <c r="D12" s="59" t="n">
        <f aca="false">IF(C12="✓",2000,1730)</f>
        <v>1730</v>
      </c>
      <c r="E12" s="65"/>
      <c r="F12" s="66"/>
      <c r="G12" s="67"/>
      <c r="H12" s="68"/>
      <c r="I12" s="61" t="n">
        <f aca="false">IFERROR(SUM(E12:H12),0)</f>
        <v>0</v>
      </c>
      <c r="J12" s="69"/>
      <c r="K12" s="9" t="str">
        <f aca="false">IFERROR(IF(J12="","",IF(J12&gt;=D12,"✅ Yes",IF(J12&gt;=D12-200,"🟡 Close","❌ No"))),"" )</f>
        <v/>
      </c>
      <c r="L12" s="9" t="str">
        <f aca="false">IFERROR(IF(I12=0,"",IF(I12&gt;=110,"✅ Yes",IF(I12&gt;=95,"🟡 Close","❌ No"))),"" )</f>
        <v/>
      </c>
      <c r="M12" s="8"/>
    </row>
    <row r="13" customFormat="false" ht="21.75" hidden="false" customHeight="true" outlineLevel="0" collapsed="false">
      <c r="A13" s="57" t="n">
        <v>46157</v>
      </c>
      <c r="B13" s="11" t="s">
        <v>193</v>
      </c>
      <c r="C13" s="64" t="s">
        <v>194</v>
      </c>
      <c r="D13" s="59" t="n">
        <f aca="false">IF(C13="✓",2000,1730)</f>
        <v>2000</v>
      </c>
      <c r="E13" s="60"/>
      <c r="F13" s="60"/>
      <c r="G13" s="60"/>
      <c r="H13" s="60"/>
      <c r="I13" s="61" t="n">
        <f aca="false">IFERROR(SUM(E13:H13),0)</f>
        <v>0</v>
      </c>
      <c r="J13" s="62"/>
      <c r="K13" s="11" t="str">
        <f aca="false">IFERROR(IF(J13="","",IF(J13&gt;=D13,"✅ Yes",IF(J13&gt;=D13-200,"🟡 Close","❌ No"))),"" )</f>
        <v/>
      </c>
      <c r="L13" s="11" t="str">
        <f aca="false">IFERROR(IF(I13=0,"",IF(I13&gt;=110,"✅ Yes",IF(I13&gt;=95,"🟡 Close","❌ No"))),"" )</f>
        <v/>
      </c>
      <c r="M13" s="10"/>
    </row>
    <row r="14" customFormat="false" ht="21.75" hidden="false" customHeight="true" outlineLevel="0" collapsed="false">
      <c r="A14" s="63" t="n">
        <v>46158</v>
      </c>
      <c r="B14" s="71" t="s">
        <v>195</v>
      </c>
      <c r="C14" s="72"/>
      <c r="D14" s="59" t="n">
        <f aca="false">IF(C14="✓",2000,1730)</f>
        <v>1730</v>
      </c>
      <c r="E14" s="65"/>
      <c r="F14" s="66"/>
      <c r="G14" s="67"/>
      <c r="H14" s="68"/>
      <c r="I14" s="61" t="n">
        <f aca="false">IFERROR(SUM(E14:H14),0)</f>
        <v>0</v>
      </c>
      <c r="J14" s="69"/>
      <c r="K14" s="9" t="str">
        <f aca="false">IFERROR(IF(J14="","",IF(J14&gt;=D14,"✅ Yes",IF(J14&gt;=D14-200,"🟡 Close","❌ No"))),"" )</f>
        <v/>
      </c>
      <c r="L14" s="9" t="str">
        <f aca="false">IFERROR(IF(I14=0,"",IF(I14&gt;=110,"✅ Yes",IF(I14&gt;=95,"🟡 Close","❌ No"))),"" )</f>
        <v/>
      </c>
      <c r="M14" s="8"/>
    </row>
    <row r="15" customFormat="false" ht="21.75" hidden="false" customHeight="true" outlineLevel="0" collapsed="false">
      <c r="A15" s="57" t="n">
        <v>46159</v>
      </c>
      <c r="B15" s="70" t="s">
        <v>196</v>
      </c>
      <c r="C15" s="64" t="s">
        <v>194</v>
      </c>
      <c r="D15" s="59" t="n">
        <f aca="false">IF(C15="✓",2000,1730)</f>
        <v>2000</v>
      </c>
      <c r="E15" s="60"/>
      <c r="F15" s="60"/>
      <c r="G15" s="60"/>
      <c r="H15" s="60"/>
      <c r="I15" s="61" t="n">
        <f aca="false">IFERROR(SUM(E15:H15),0)</f>
        <v>0</v>
      </c>
      <c r="J15" s="62"/>
      <c r="K15" s="11" t="str">
        <f aca="false">IFERROR(IF(J15="","",IF(J15&gt;=D15,"✅ Yes",IF(J15&gt;=D15-200,"🟡 Close","❌ No"))),"" )</f>
        <v/>
      </c>
      <c r="L15" s="11" t="str">
        <f aca="false">IFERROR(IF(I15=0,"",IF(I15&gt;=110,"✅ Yes",IF(I15&gt;=95,"🟡 Close","❌ No"))),"" )</f>
        <v/>
      </c>
      <c r="M15" s="10"/>
    </row>
    <row r="16" customFormat="false" ht="21.75" hidden="false" customHeight="true" outlineLevel="0" collapsed="false">
      <c r="A16" s="63" t="n">
        <v>46160</v>
      </c>
      <c r="B16" s="9" t="s">
        <v>197</v>
      </c>
      <c r="C16" s="64" t="s">
        <v>194</v>
      </c>
      <c r="D16" s="59" t="n">
        <f aca="false">IF(C16="✓",2000,1730)</f>
        <v>2000</v>
      </c>
      <c r="E16" s="65"/>
      <c r="F16" s="66"/>
      <c r="G16" s="67"/>
      <c r="H16" s="68"/>
      <c r="I16" s="61" t="n">
        <f aca="false">IFERROR(SUM(E16:H16),0)</f>
        <v>0</v>
      </c>
      <c r="J16" s="69"/>
      <c r="K16" s="9" t="str">
        <f aca="false">IFERROR(IF(J16="","",IF(J16&gt;=D16,"✅ Yes",IF(J16&gt;=D16-200,"🟡 Close","❌ No"))),"" )</f>
        <v/>
      </c>
      <c r="L16" s="9" t="str">
        <f aca="false">IFERROR(IF(I16=0,"",IF(I16&gt;=110,"✅ Yes",IF(I16&gt;=95,"🟡 Close","❌ No"))),"" )</f>
        <v/>
      </c>
      <c r="M16" s="8"/>
    </row>
    <row r="17" customFormat="false" ht="21.75" hidden="false" customHeight="true" outlineLevel="0" collapsed="false">
      <c r="A17" s="57" t="n">
        <v>46161</v>
      </c>
      <c r="B17" s="11" t="s">
        <v>198</v>
      </c>
      <c r="C17" s="58"/>
      <c r="D17" s="59" t="n">
        <f aca="false">IF(C17="✓",2000,1730)</f>
        <v>1730</v>
      </c>
      <c r="E17" s="60"/>
      <c r="F17" s="60"/>
      <c r="G17" s="60"/>
      <c r="H17" s="60"/>
      <c r="I17" s="61" t="n">
        <f aca="false">IFERROR(SUM(E17:H17),0)</f>
        <v>0</v>
      </c>
      <c r="J17" s="62"/>
      <c r="K17" s="11" t="str">
        <f aca="false">IFERROR(IF(J17="","",IF(J17&gt;=D17,"✅ Yes",IF(J17&gt;=D17-200,"🟡 Close","❌ No"))),"" )</f>
        <v/>
      </c>
      <c r="L17" s="11" t="str">
        <f aca="false">IFERROR(IF(I17=0,"",IF(I17&gt;=110,"✅ Yes",IF(I17&gt;=95,"🟡 Close","❌ No"))),"" )</f>
        <v/>
      </c>
      <c r="M17" s="10"/>
    </row>
    <row r="18" customFormat="false" ht="21.75" hidden="false" customHeight="true" outlineLevel="0" collapsed="false">
      <c r="A18" s="63" t="n">
        <v>46162</v>
      </c>
      <c r="B18" s="9" t="s">
        <v>199</v>
      </c>
      <c r="C18" s="64" t="s">
        <v>194</v>
      </c>
      <c r="D18" s="59" t="n">
        <f aca="false">IF(C18="✓",2000,1730)</f>
        <v>2000</v>
      </c>
      <c r="E18" s="65"/>
      <c r="F18" s="66"/>
      <c r="G18" s="67"/>
      <c r="H18" s="68"/>
      <c r="I18" s="61" t="n">
        <f aca="false">IFERROR(SUM(E18:H18),0)</f>
        <v>0</v>
      </c>
      <c r="J18" s="69"/>
      <c r="K18" s="9" t="str">
        <f aca="false">IFERROR(IF(J18="","",IF(J18&gt;=D18,"✅ Yes",IF(J18&gt;=D18-200,"🟡 Close","❌ No"))),"" )</f>
        <v/>
      </c>
      <c r="L18" s="9" t="str">
        <f aca="false">IFERROR(IF(I18=0,"",IF(I18&gt;=110,"✅ Yes",IF(I18&gt;=95,"🟡 Close","❌ No"))),"" )</f>
        <v/>
      </c>
      <c r="M18" s="8"/>
    </row>
    <row r="19" customFormat="false" ht="21.75" hidden="false" customHeight="true" outlineLevel="0" collapsed="false">
      <c r="A19" s="57" t="n">
        <v>46163</v>
      </c>
      <c r="B19" s="11" t="s">
        <v>192</v>
      </c>
      <c r="C19" s="58"/>
      <c r="D19" s="59" t="n">
        <f aca="false">IF(C19="✓",2000,1730)</f>
        <v>1730</v>
      </c>
      <c r="E19" s="60"/>
      <c r="F19" s="60"/>
      <c r="G19" s="60"/>
      <c r="H19" s="60"/>
      <c r="I19" s="61" t="n">
        <f aca="false">IFERROR(SUM(E19:H19),0)</f>
        <v>0</v>
      </c>
      <c r="J19" s="62"/>
      <c r="K19" s="11" t="str">
        <f aca="false">IFERROR(IF(J19="","",IF(J19&gt;=D19,"✅ Yes",IF(J19&gt;=D19-200,"🟡 Close","❌ No"))),"" )</f>
        <v/>
      </c>
      <c r="L19" s="11" t="str">
        <f aca="false">IFERROR(IF(I19=0,"",IF(I19&gt;=110,"✅ Yes",IF(I19&gt;=95,"🟡 Close","❌ No"))),"" )</f>
        <v/>
      </c>
      <c r="M19" s="10"/>
    </row>
    <row r="20" customFormat="false" ht="21.75" hidden="false" customHeight="true" outlineLevel="0" collapsed="false">
      <c r="A20" s="63" t="n">
        <v>46164</v>
      </c>
      <c r="B20" s="9" t="s">
        <v>193</v>
      </c>
      <c r="C20" s="64" t="s">
        <v>194</v>
      </c>
      <c r="D20" s="59" t="n">
        <f aca="false">IF(C20="✓",2000,1730)</f>
        <v>2000</v>
      </c>
      <c r="E20" s="65"/>
      <c r="F20" s="66"/>
      <c r="G20" s="67"/>
      <c r="H20" s="68"/>
      <c r="I20" s="61" t="n">
        <f aca="false">IFERROR(SUM(E20:H20),0)</f>
        <v>0</v>
      </c>
      <c r="J20" s="69"/>
      <c r="K20" s="9" t="str">
        <f aca="false">IFERROR(IF(J20="","",IF(J20&gt;=D20,"✅ Yes",IF(J20&gt;=D20-200,"🟡 Close","❌ No"))),"" )</f>
        <v/>
      </c>
      <c r="L20" s="9" t="str">
        <f aca="false">IFERROR(IF(I20=0,"",IF(I20&gt;=110,"✅ Yes",IF(I20&gt;=95,"🟡 Close","❌ No"))),"" )</f>
        <v/>
      </c>
      <c r="M20" s="8"/>
    </row>
    <row r="21" customFormat="false" ht="21.75" hidden="false" customHeight="true" outlineLevel="0" collapsed="false">
      <c r="A21" s="57" t="n">
        <v>46165</v>
      </c>
      <c r="B21" s="70" t="s">
        <v>195</v>
      </c>
      <c r="C21" s="58"/>
      <c r="D21" s="59" t="n">
        <f aca="false">IF(C21="✓",2000,1730)</f>
        <v>1730</v>
      </c>
      <c r="E21" s="60"/>
      <c r="F21" s="60"/>
      <c r="G21" s="60"/>
      <c r="H21" s="60"/>
      <c r="I21" s="61" t="n">
        <f aca="false">IFERROR(SUM(E21:H21),0)</f>
        <v>0</v>
      </c>
      <c r="J21" s="62"/>
      <c r="K21" s="11" t="str">
        <f aca="false">IFERROR(IF(J21="","",IF(J21&gt;=D21,"✅ Yes",IF(J21&gt;=D21-200,"🟡 Close","❌ No"))),"" )</f>
        <v/>
      </c>
      <c r="L21" s="11" t="str">
        <f aca="false">IFERROR(IF(I21=0,"",IF(I21&gt;=110,"✅ Yes",IF(I21&gt;=95,"🟡 Close","❌ No"))),"" )</f>
        <v/>
      </c>
      <c r="M21" s="10"/>
    </row>
    <row r="22" customFormat="false" ht="21.75" hidden="false" customHeight="true" outlineLevel="0" collapsed="false">
      <c r="A22" s="63" t="n">
        <v>46166</v>
      </c>
      <c r="B22" s="71" t="s">
        <v>196</v>
      </c>
      <c r="C22" s="64" t="s">
        <v>194</v>
      </c>
      <c r="D22" s="59" t="n">
        <f aca="false">IF(C22="✓",2000,1730)</f>
        <v>2000</v>
      </c>
      <c r="E22" s="65"/>
      <c r="F22" s="66"/>
      <c r="G22" s="67"/>
      <c r="H22" s="68"/>
      <c r="I22" s="61" t="n">
        <f aca="false">IFERROR(SUM(E22:H22),0)</f>
        <v>0</v>
      </c>
      <c r="J22" s="69"/>
      <c r="K22" s="9" t="str">
        <f aca="false">IFERROR(IF(J22="","",IF(J22&gt;=D22,"✅ Yes",IF(J22&gt;=D22-200,"🟡 Close","❌ No"))),"" )</f>
        <v/>
      </c>
      <c r="L22" s="9" t="str">
        <f aca="false">IFERROR(IF(I22=0,"",IF(I22&gt;=110,"✅ Yes",IF(I22&gt;=95,"🟡 Close","❌ No"))),"" )</f>
        <v/>
      </c>
      <c r="M22" s="8"/>
    </row>
    <row r="23" customFormat="false" ht="21.75" hidden="false" customHeight="true" outlineLevel="0" collapsed="false">
      <c r="A23" s="57" t="n">
        <v>46167</v>
      </c>
      <c r="B23" s="11" t="s">
        <v>197</v>
      </c>
      <c r="C23" s="64" t="s">
        <v>194</v>
      </c>
      <c r="D23" s="59" t="n">
        <f aca="false">IF(C23="✓",2000,1730)</f>
        <v>2000</v>
      </c>
      <c r="E23" s="60"/>
      <c r="F23" s="60"/>
      <c r="G23" s="60"/>
      <c r="H23" s="60"/>
      <c r="I23" s="61" t="n">
        <f aca="false">IFERROR(SUM(E23:H23),0)</f>
        <v>0</v>
      </c>
      <c r="J23" s="62"/>
      <c r="K23" s="11" t="str">
        <f aca="false">IFERROR(IF(J23="","",IF(J23&gt;=D23,"✅ Yes",IF(J23&gt;=D23-200,"🟡 Close","❌ No"))),"" )</f>
        <v/>
      </c>
      <c r="L23" s="11" t="str">
        <f aca="false">IFERROR(IF(I23=0,"",IF(I23&gt;=110,"✅ Yes",IF(I23&gt;=95,"🟡 Close","❌ No"))),"" )</f>
        <v/>
      </c>
      <c r="M23" s="10"/>
    </row>
    <row r="24" customFormat="false" ht="21.75" hidden="false" customHeight="true" outlineLevel="0" collapsed="false">
      <c r="A24" s="63" t="n">
        <v>46168</v>
      </c>
      <c r="B24" s="9" t="s">
        <v>198</v>
      </c>
      <c r="C24" s="72"/>
      <c r="D24" s="59" t="n">
        <f aca="false">IF(C24="✓",2000,1730)</f>
        <v>1730</v>
      </c>
      <c r="E24" s="65"/>
      <c r="F24" s="66"/>
      <c r="G24" s="67"/>
      <c r="H24" s="68"/>
      <c r="I24" s="61" t="n">
        <f aca="false">IFERROR(SUM(E24:H24),0)</f>
        <v>0</v>
      </c>
      <c r="J24" s="69"/>
      <c r="K24" s="9" t="str">
        <f aca="false">IFERROR(IF(J24="","",IF(J24&gt;=D24,"✅ Yes",IF(J24&gt;=D24-200,"🟡 Close","❌ No"))),"" )</f>
        <v/>
      </c>
      <c r="L24" s="9" t="str">
        <f aca="false">IFERROR(IF(I24=0,"",IF(I24&gt;=110,"✅ Yes",IF(I24&gt;=95,"🟡 Close","❌ No"))),"" )</f>
        <v/>
      </c>
      <c r="M24" s="8"/>
    </row>
    <row r="25" customFormat="false" ht="21.75" hidden="false" customHeight="true" outlineLevel="0" collapsed="false">
      <c r="A25" s="57" t="n">
        <v>46169</v>
      </c>
      <c r="B25" s="11" t="s">
        <v>199</v>
      </c>
      <c r="C25" s="64" t="s">
        <v>194</v>
      </c>
      <c r="D25" s="59" t="n">
        <f aca="false">IF(C25="✓",2000,1730)</f>
        <v>2000</v>
      </c>
      <c r="E25" s="60"/>
      <c r="F25" s="60"/>
      <c r="G25" s="60"/>
      <c r="H25" s="60"/>
      <c r="I25" s="61" t="n">
        <f aca="false">IFERROR(SUM(E25:H25),0)</f>
        <v>0</v>
      </c>
      <c r="J25" s="62"/>
      <c r="K25" s="11" t="str">
        <f aca="false">IFERROR(IF(J25="","",IF(J25&gt;=D25,"✅ Yes",IF(J25&gt;=D25-200,"🟡 Close","❌ No"))),"" )</f>
        <v/>
      </c>
      <c r="L25" s="11" t="str">
        <f aca="false">IFERROR(IF(I25=0,"",IF(I25&gt;=110,"✅ Yes",IF(I25&gt;=95,"🟡 Close","❌ No"))),"" )</f>
        <v/>
      </c>
      <c r="M25" s="10"/>
    </row>
    <row r="26" customFormat="false" ht="21.75" hidden="false" customHeight="true" outlineLevel="0" collapsed="false">
      <c r="A26" s="63" t="n">
        <v>46170</v>
      </c>
      <c r="B26" s="9" t="s">
        <v>192</v>
      </c>
      <c r="C26" s="72"/>
      <c r="D26" s="59" t="n">
        <f aca="false">IF(C26="✓",2000,1730)</f>
        <v>1730</v>
      </c>
      <c r="E26" s="65"/>
      <c r="F26" s="66"/>
      <c r="G26" s="67"/>
      <c r="H26" s="68"/>
      <c r="I26" s="61" t="n">
        <f aca="false">IFERROR(SUM(E26:H26),0)</f>
        <v>0</v>
      </c>
      <c r="J26" s="69"/>
      <c r="K26" s="9" t="str">
        <f aca="false">IFERROR(IF(J26="","",IF(J26&gt;=D26,"✅ Yes",IF(J26&gt;=D26-200,"🟡 Close","❌ No"))),"" )</f>
        <v/>
      </c>
      <c r="L26" s="9" t="str">
        <f aca="false">IFERROR(IF(I26=0,"",IF(I26&gt;=110,"✅ Yes",IF(I26&gt;=95,"🟡 Close","❌ No"))),"" )</f>
        <v/>
      </c>
      <c r="M26" s="8"/>
    </row>
    <row r="27" customFormat="false" ht="21.75" hidden="false" customHeight="true" outlineLevel="0" collapsed="false">
      <c r="A27" s="57" t="n">
        <v>46171</v>
      </c>
      <c r="B27" s="11" t="s">
        <v>193</v>
      </c>
      <c r="C27" s="64" t="s">
        <v>194</v>
      </c>
      <c r="D27" s="59" t="n">
        <f aca="false">IF(C27="✓",2000,1730)</f>
        <v>2000</v>
      </c>
      <c r="E27" s="60"/>
      <c r="F27" s="60"/>
      <c r="G27" s="60"/>
      <c r="H27" s="60"/>
      <c r="I27" s="61" t="n">
        <f aca="false">IFERROR(SUM(E27:H27),0)</f>
        <v>0</v>
      </c>
      <c r="J27" s="62"/>
      <c r="K27" s="11" t="str">
        <f aca="false">IFERROR(IF(J27="","",IF(J27&gt;=D27,"✅ Yes",IF(J27&gt;=D27-200,"🟡 Close","❌ No"))),"" )</f>
        <v/>
      </c>
      <c r="L27" s="11" t="str">
        <f aca="false">IFERROR(IF(I27=0,"",IF(I27&gt;=110,"✅ Yes",IF(I27&gt;=95,"🟡 Close","❌ No"))),"" )</f>
        <v/>
      </c>
      <c r="M27" s="10"/>
    </row>
    <row r="28" customFormat="false" ht="21.75" hidden="false" customHeight="true" outlineLevel="0" collapsed="false">
      <c r="A28" s="63" t="n">
        <v>46172</v>
      </c>
      <c r="B28" s="71" t="s">
        <v>195</v>
      </c>
      <c r="C28" s="72"/>
      <c r="D28" s="59" t="n">
        <f aca="false">IF(C28="✓",2000,1730)</f>
        <v>1730</v>
      </c>
      <c r="E28" s="65"/>
      <c r="F28" s="66"/>
      <c r="G28" s="67"/>
      <c r="H28" s="68"/>
      <c r="I28" s="61" t="n">
        <f aca="false">IFERROR(SUM(E28:H28),0)</f>
        <v>0</v>
      </c>
      <c r="J28" s="69"/>
      <c r="K28" s="9" t="str">
        <f aca="false">IFERROR(IF(J28="","",IF(J28&gt;=D28,"✅ Yes",IF(J28&gt;=D28-200,"🟡 Close","❌ No"))),"" )</f>
        <v/>
      </c>
      <c r="L28" s="9" t="str">
        <f aca="false">IFERROR(IF(I28=0,"",IF(I28&gt;=110,"✅ Yes",IF(I28&gt;=95,"🟡 Close","❌ No"))),"" )</f>
        <v/>
      </c>
      <c r="M28" s="8"/>
    </row>
    <row r="29" customFormat="false" ht="21.75" hidden="false" customHeight="true" outlineLevel="0" collapsed="false">
      <c r="A29" s="57" t="n">
        <v>46173</v>
      </c>
      <c r="B29" s="70" t="s">
        <v>196</v>
      </c>
      <c r="C29" s="64" t="s">
        <v>194</v>
      </c>
      <c r="D29" s="59" t="n">
        <f aca="false">IF(C29="✓",2000,1730)</f>
        <v>2000</v>
      </c>
      <c r="E29" s="60"/>
      <c r="F29" s="60"/>
      <c r="G29" s="60"/>
      <c r="H29" s="60"/>
      <c r="I29" s="61" t="n">
        <f aca="false">IFERROR(SUM(E29:H29),0)</f>
        <v>0</v>
      </c>
      <c r="J29" s="62"/>
      <c r="K29" s="11" t="str">
        <f aca="false">IFERROR(IF(J29="","",IF(J29&gt;=D29,"✅ Yes",IF(J29&gt;=D29-200,"🟡 Close","❌ No"))),"" )</f>
        <v/>
      </c>
      <c r="L29" s="11" t="str">
        <f aca="false">IFERROR(IF(I29=0,"",IF(I29&gt;=110,"✅ Yes",IF(I29&gt;=95,"🟡 Close","❌ No"))),"" )</f>
        <v/>
      </c>
      <c r="M29" s="10"/>
    </row>
    <row r="30" customFormat="false" ht="21.75" hidden="false" customHeight="true" outlineLevel="0" collapsed="false">
      <c r="A30" s="63" t="n">
        <v>46174</v>
      </c>
      <c r="B30" s="9" t="s">
        <v>197</v>
      </c>
      <c r="C30" s="64" t="s">
        <v>194</v>
      </c>
      <c r="D30" s="59" t="n">
        <f aca="false">IF(C30="✓",2000,1730)</f>
        <v>2000</v>
      </c>
      <c r="E30" s="65"/>
      <c r="F30" s="66"/>
      <c r="G30" s="67"/>
      <c r="H30" s="68"/>
      <c r="I30" s="61" t="n">
        <f aca="false">IFERROR(SUM(E30:H30),0)</f>
        <v>0</v>
      </c>
      <c r="J30" s="69"/>
      <c r="K30" s="9" t="str">
        <f aca="false">IFERROR(IF(J30="","",IF(J30&gt;=D30,"✅ Yes",IF(J30&gt;=D30-200,"🟡 Close","❌ No"))),"" )</f>
        <v/>
      </c>
      <c r="L30" s="9" t="str">
        <f aca="false">IFERROR(IF(I30=0,"",IF(I30&gt;=110,"✅ Yes",IF(I30&gt;=95,"🟡 Close","❌ No"))),"" )</f>
        <v/>
      </c>
      <c r="M30" s="8"/>
    </row>
    <row r="31" customFormat="false" ht="21.75" hidden="false" customHeight="true" outlineLevel="0" collapsed="false">
      <c r="A31" s="57" t="n">
        <v>46175</v>
      </c>
      <c r="B31" s="11" t="s">
        <v>198</v>
      </c>
      <c r="C31" s="58"/>
      <c r="D31" s="59" t="n">
        <f aca="false">IF(C31="✓",2000,1730)</f>
        <v>1730</v>
      </c>
      <c r="E31" s="60"/>
      <c r="F31" s="60"/>
      <c r="G31" s="60"/>
      <c r="H31" s="60"/>
      <c r="I31" s="61" t="n">
        <f aca="false">IFERROR(SUM(E31:H31),0)</f>
        <v>0</v>
      </c>
      <c r="J31" s="62"/>
      <c r="K31" s="11" t="str">
        <f aca="false">IFERROR(IF(J31="","",IF(J31&gt;=D31,"✅ Yes",IF(J31&gt;=D31-200,"🟡 Close","❌ No"))),"" )</f>
        <v/>
      </c>
      <c r="L31" s="11" t="str">
        <f aca="false">IFERROR(IF(I31=0,"",IF(I31&gt;=110,"✅ Yes",IF(I31&gt;=95,"🟡 Close","❌ No"))),"" )</f>
        <v/>
      </c>
      <c r="M31" s="10"/>
    </row>
    <row r="32" customFormat="false" ht="21.75" hidden="false" customHeight="true" outlineLevel="0" collapsed="false">
      <c r="A32" s="63" t="n">
        <v>46176</v>
      </c>
      <c r="B32" s="9" t="s">
        <v>199</v>
      </c>
      <c r="C32" s="64" t="s">
        <v>194</v>
      </c>
      <c r="D32" s="59" t="n">
        <f aca="false">IF(C32="✓",2000,1730)</f>
        <v>2000</v>
      </c>
      <c r="E32" s="65"/>
      <c r="F32" s="66"/>
      <c r="G32" s="67"/>
      <c r="H32" s="68"/>
      <c r="I32" s="61" t="n">
        <f aca="false">IFERROR(SUM(E32:H32),0)</f>
        <v>0</v>
      </c>
      <c r="J32" s="69"/>
      <c r="K32" s="9" t="str">
        <f aca="false">IFERROR(IF(J32="","",IF(J32&gt;=D32,"✅ Yes",IF(J32&gt;=D32-200,"🟡 Close","❌ No"))),"" )</f>
        <v/>
      </c>
      <c r="L32" s="9" t="str">
        <f aca="false">IFERROR(IF(I32=0,"",IF(I32&gt;=110,"✅ Yes",IF(I32&gt;=95,"🟡 Close","❌ No"))),"" )</f>
        <v/>
      </c>
      <c r="M32" s="8"/>
    </row>
    <row r="33" customFormat="false" ht="21.75" hidden="false" customHeight="true" outlineLevel="0" collapsed="false">
      <c r="A33" s="57" t="n">
        <v>46177</v>
      </c>
      <c r="B33" s="11" t="s">
        <v>192</v>
      </c>
      <c r="C33" s="58"/>
      <c r="D33" s="59" t="n">
        <f aca="false">IF(C33="✓",2000,1730)</f>
        <v>1730</v>
      </c>
      <c r="E33" s="60"/>
      <c r="F33" s="60"/>
      <c r="G33" s="60"/>
      <c r="H33" s="60"/>
      <c r="I33" s="61" t="n">
        <f aca="false">IFERROR(SUM(E33:H33),0)</f>
        <v>0</v>
      </c>
      <c r="J33" s="62"/>
      <c r="K33" s="11" t="str">
        <f aca="false">IFERROR(IF(J33="","",IF(J33&gt;=D33,"✅ Yes",IF(J33&gt;=D33-200,"🟡 Close","❌ No"))),"" )</f>
        <v/>
      </c>
      <c r="L33" s="11" t="str">
        <f aca="false">IFERROR(IF(I33=0,"",IF(I33&gt;=110,"✅ Yes",IF(I33&gt;=95,"🟡 Close","❌ No"))),"" )</f>
        <v/>
      </c>
      <c r="M33" s="10"/>
    </row>
    <row r="34" customFormat="false" ht="21.75" hidden="false" customHeight="true" outlineLevel="0" collapsed="false">
      <c r="A34" s="63" t="n">
        <v>46178</v>
      </c>
      <c r="B34" s="9" t="s">
        <v>193</v>
      </c>
      <c r="C34" s="64" t="s">
        <v>194</v>
      </c>
      <c r="D34" s="59" t="n">
        <f aca="false">IF(C34="✓",2000,1730)</f>
        <v>2000</v>
      </c>
      <c r="E34" s="65"/>
      <c r="F34" s="66"/>
      <c r="G34" s="67"/>
      <c r="H34" s="68"/>
      <c r="I34" s="61" t="n">
        <f aca="false">IFERROR(SUM(E34:H34),0)</f>
        <v>0</v>
      </c>
      <c r="J34" s="69"/>
      <c r="K34" s="9" t="str">
        <f aca="false">IFERROR(IF(J34="","",IF(J34&gt;=D34,"✅ Yes",IF(J34&gt;=D34-200,"🟡 Close","❌ No"))),"" )</f>
        <v/>
      </c>
      <c r="L34" s="9" t="str">
        <f aca="false">IFERROR(IF(I34=0,"",IF(I34&gt;=110,"✅ Yes",IF(I34&gt;=95,"🟡 Close","❌ No"))),"" )</f>
        <v/>
      </c>
      <c r="M34" s="8"/>
    </row>
    <row r="36" customFormat="false" ht="19.5" hidden="false" customHeight="true" outlineLevel="0" collapsed="false">
      <c r="A36" s="73" t="s">
        <v>200</v>
      </c>
      <c r="B36" s="73"/>
      <c r="C36" s="74" t="s">
        <v>201</v>
      </c>
      <c r="D36" s="75" t="s">
        <v>202</v>
      </c>
      <c r="E36" s="76" t="s">
        <v>203</v>
      </c>
      <c r="F36" s="77" t="s">
        <v>204</v>
      </c>
      <c r="G36" s="78" t="s">
        <v>205</v>
      </c>
    </row>
    <row r="37" customFormat="false" ht="30" hidden="false" customHeight="true" outlineLevel="0" collapsed="false">
      <c r="C37" s="79" t="n">
        <f aca="false">COUNTIF(C5:C34,"✓")</f>
        <v>17</v>
      </c>
      <c r="D37" s="80" t="n">
        <f aca="false">ROUND(AVERAGE(D5:D34),0)</f>
        <v>1883</v>
      </c>
      <c r="E37" s="81" t="n">
        <f aca="false">IFERROR(ROUND(AVERAGEIF(I5:I34,"&gt;0"),0),0)</f>
        <v>0</v>
      </c>
      <c r="F37" s="82" t="n">
        <f aca="false">COUNTIF(K5:K34,"✅ Yes")</f>
        <v>0</v>
      </c>
      <c r="G37" s="83" t="n">
        <f aca="false">COUNTIF(L5:L34,"✅ Yes")</f>
        <v>0</v>
      </c>
    </row>
  </sheetData>
  <mergeCells count="5">
    <mergeCell ref="A1:M1"/>
    <mergeCell ref="A2:M2"/>
    <mergeCell ref="A3:C3"/>
    <mergeCell ref="D3:M3"/>
    <mergeCell ref="A36:B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2026-05-07T19:37:41Z</dcterms:created>
  <dc:creator>openpyxl</dc:creator>
  <dc:description/>
  <dc:language>en-US</dc:language>
  <cp:lastModifiedBy/>
  <dcterms:modified xsi:type="dcterms:W3CDTF">2026-05-07T19:59:12Z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