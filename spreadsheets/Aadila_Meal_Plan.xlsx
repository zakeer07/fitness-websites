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🍽️ Meal Options" sheetId="2" state="visible" r:id="rId4"/>
    <sheet name="🌿 IBS Guide" sheetId="3" state="visible" r:id="rId5"/>
    <sheet name="📅 Weekly Planner" sheetId="4" state="visible" r:id="rId6"/>
    <sheet name="🥚 Protein Split" sheetId="5" state="visible" r:id="rId7"/>
    <sheet name="💡 Tips &amp; Exercises" sheetId="6" state="visible" r:id="rId8"/>
    <sheet name="📈 Daily Track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<sst xmlns="http://schemas.openxmlformats.org/spreadsheetml/2006/main" count="603" uniqueCount="413">
  <si>
    <t xml:space="preserve">🌸  AADILA'S TONED + STRONG BODY PLAN</t>
  </si>
  <si>
    <t xml:space="preserve">Breakfast + 4 meals · Spread protein evenly · IBS-friendly · Glutes + Tone</t>
  </si>
  <si>
    <t xml:space="preserve">👤 Height
5'3"</t>
  </si>
  <si>
    <t xml:space="preserve">⚖️ Weight
53 kg</t>
  </si>
  <si>
    <t xml:space="preserve">🔥 Calories
1700–1900</t>
  </si>
  <si>
    <t xml:space="preserve">💪 Protein
90–105g</t>
  </si>
  <si>
    <t xml:space="preserve">🎯 Focus
Glutes + Tone</t>
  </si>
  <si>
    <t xml:space="preserve">DAILY SCHEDULE &amp; MACRO SNAPSHOT</t>
  </si>
  <si>
    <t xml:space="preserve">Time</t>
  </si>
  <si>
    <t xml:space="preserve">Meal</t>
  </si>
  <si>
    <t xml:space="preserve">Calories (kcal)</t>
  </si>
  <si>
    <t xml:space="preserve">Protein (g)</t>
  </si>
  <si>
    <t xml:space="preserve">7:00–8:00 AM</t>
  </si>
  <si>
    <t xml:space="preserve">Breakfast (e.g. Eggs + Sourdough Toast)</t>
  </si>
  <si>
    <t xml:space="preserve">Lunch</t>
  </si>
  <si>
    <t xml:space="preserve">12:00 PM</t>
  </si>
  <si>
    <t xml:space="preserve">Lunch (e.g. Chicken Rice Bowl)</t>
  </si>
  <si>
    <t xml:space="preserve">Snack</t>
  </si>
  <si>
    <t xml:space="preserve">3:30 PM</t>
  </si>
  <si>
    <t xml:space="preserve">Snack (e.g. Greek Yogurt + Fruit)</t>
  </si>
  <si>
    <t xml:space="preserve">Shake</t>
  </si>
  <si>
    <t xml:space="preserve">6:30 PM</t>
  </si>
  <si>
    <t xml:space="preserve">Post-Workout Shake (½–1 scoop)</t>
  </si>
  <si>
    <t xml:space="preserve">Dinner</t>
  </si>
  <si>
    <t xml:space="preserve">7:30–8:30 PM</t>
  </si>
  <si>
    <t xml:space="preserve">Dinner (e.g. Salmon + Veggies)</t>
  </si>
  <si>
    <t xml:space="preserve">Sweet</t>
  </si>
  <si>
    <t xml:space="preserve">After dinner</t>
  </si>
  <si>
    <t xml:space="preserve">Optional Sweet (dark choc)</t>
  </si>
  <si>
    <t xml:space="preserve">DAILY TOTAL</t>
  </si>
  <si>
    <t xml:space="preserve">⚡ ON OTF WORKOUT DAYS — Top Up to ~1900 kcal</t>
  </si>
  <si>
    <t xml:space="preserve">Add This</t>
  </si>
  <si>
    <t xml:space="preserve">Amount</t>
  </si>
  <si>
    <t xml:space="preserve">Extra Calories</t>
  </si>
  <si>
    <t xml:space="preserve">Extra Protein</t>
  </si>
  <si>
    <t xml:space="preserve">Extra rice</t>
  </si>
  <si>
    <t xml:space="preserve">+½ cup</t>
  </si>
  <si>
    <t xml:space="preserve">+100 kcal</t>
  </si>
  <si>
    <t xml:space="preserve">+2g</t>
  </si>
  <si>
    <t xml:space="preserve">Banana</t>
  </si>
  <si>
    <t xml:space="preserve">1 whole</t>
  </si>
  <si>
    <t xml:space="preserve">+90 kcal</t>
  </si>
  <si>
    <t xml:space="preserve">+1g</t>
  </si>
  <si>
    <t xml:space="preserve">Milk in shake</t>
  </si>
  <si>
    <t xml:space="preserve">250ml LF</t>
  </si>
  <si>
    <t xml:space="preserve">+120 kcal</t>
  </si>
  <si>
    <t xml:space="preserve">+8g</t>
  </si>
  <si>
    <t xml:space="preserve">Mixed nuts</t>
  </si>
  <si>
    <t xml:space="preserve">20g</t>
  </si>
  <si>
    <t xml:space="preserve">+3g</t>
  </si>
  <si>
    <t xml:space="preserve">Extra roti</t>
  </si>
  <si>
    <t xml:space="preserve">1 medium</t>
  </si>
  <si>
    <t xml:space="preserve">🎯 Workout days: ~1900 kcal  |  Rest days: ~1700 kcal  |  Protein: 90–105g daily</t>
  </si>
  <si>
    <t xml:space="preserve">🍽️  AADILA'S MEAL OPTIONS — IBS-Friendly</t>
  </si>
  <si>
    <t xml:space="preserve">🌅 BREAKFAST OPTIONS  (7:00–8:00 AM)  — 20–25g protein target</t>
  </si>
  <si>
    <t xml:space="preserve">Option</t>
  </si>
  <si>
    <t xml:space="preserve">Food Item</t>
  </si>
  <si>
    <t xml:space="preserve">Quantity</t>
  </si>
  <si>
    <t xml:space="preserve">Calories</t>
  </si>
  <si>
    <t xml:space="preserve">Eggs + Toast</t>
  </si>
  <si>
    <t xml:space="preserve">Whole eggs</t>
  </si>
  <si>
    <t xml:space="preserve">2</t>
  </si>
  <si>
    <t xml:space="preserve">Egg whites</t>
  </si>
  <si>
    <t xml:space="preserve">Sourdough toast</t>
  </si>
  <si>
    <t xml:space="preserve">1 slice</t>
  </si>
  <si>
    <t xml:space="preserve">Banana or berries</t>
  </si>
  <si>
    <t xml:space="preserve">½ banana / handful</t>
  </si>
  <si>
    <t xml:space="preserve">TOTAL</t>
  </si>
  <si>
    <t xml:space="preserve">Oats + Protein</t>
  </si>
  <si>
    <t xml:space="preserve">Oats</t>
  </si>
  <si>
    <t xml:space="preserve">40g</t>
  </si>
  <si>
    <t xml:space="preserve">Whey isolate</t>
  </si>
  <si>
    <t xml:space="preserve">½ scoop</t>
  </si>
  <si>
    <t xml:space="preserve">Peanut butter</t>
  </si>
  <si>
    <t xml:space="preserve">1 tbsp</t>
  </si>
  <si>
    <t xml:space="preserve">1 serving</t>
  </si>
  <si>
    <t xml:space="preserve">Yogurt Bowl</t>
  </si>
  <si>
    <t xml:space="preserve">Lactose-free Greek yogurt</t>
  </si>
  <si>
    <t xml:space="preserve">170–200g</t>
  </si>
  <si>
    <t xml:space="preserve">Berries or banana</t>
  </si>
  <si>
    <t xml:space="preserve">Granola or oats</t>
  </si>
  <si>
    <t xml:space="preserve">20–30g</t>
  </si>
  <si>
    <t xml:space="preserve">TOTAL (dairy OK only)</t>
  </si>
  <si>
    <t xml:space="preserve">Indian Breakfast</t>
  </si>
  <si>
    <t xml:space="preserve">Eggs omelette</t>
  </si>
  <si>
    <t xml:space="preserve">2 eggs</t>
  </si>
  <si>
    <t xml:space="preserve">Idli / dosa / rice-based</t>
  </si>
  <si>
    <t xml:space="preserve">1–2 servings</t>
  </si>
  <si>
    <t xml:space="preserve">🥗 LUNCH OPTIONS  (12–1 PM)</t>
  </si>
  <si>
    <t xml:space="preserve">Chicken Rice Bowl</t>
  </si>
  <si>
    <t xml:space="preserve">Chicken breast</t>
  </si>
  <si>
    <t xml:space="preserve">120–150g</t>
  </si>
  <si>
    <t xml:space="preserve">Rice</t>
  </si>
  <si>
    <t xml:space="preserve">1 cup</t>
  </si>
  <si>
    <t xml:space="preserve">Cooked vegetables</t>
  </si>
  <si>
    <t xml:space="preserve">1–2 cups</t>
  </si>
  <si>
    <t xml:space="preserve">Olive oil/ghee</t>
  </si>
  <si>
    <t xml:space="preserve">1 tsp</t>
  </si>
  <si>
    <t xml:space="preserve">Salmon Bowl</t>
  </si>
  <si>
    <t xml:space="preserve">Salmon</t>
  </si>
  <si>
    <t xml:space="preserve">Rice or potatoes</t>
  </si>
  <si>
    <t xml:space="preserve">Tofu Plate</t>
  </si>
  <si>
    <t xml:space="preserve">Tofu</t>
  </si>
  <si>
    <t xml:space="preserve">200g</t>
  </si>
  <si>
    <t xml:space="preserve">Rice or 2 roti</t>
  </si>
  <si>
    <t xml:space="preserve">Paneer Plate</t>
  </si>
  <si>
    <t xml:space="preserve">Paneer (if dairy OK)</t>
  </si>
  <si>
    <t xml:space="preserve">100–150g</t>
  </si>
  <si>
    <t xml:space="preserve">Rice or roti</t>
  </si>
  <si>
    <t xml:space="preserve">🍎 SNACK OPTIONS  (3–4 PM)</t>
  </si>
  <si>
    <t xml:space="preserve">Yogurt Snack</t>
  </si>
  <si>
    <t xml:space="preserve">Greek/LF yogurt</t>
  </si>
  <si>
    <t xml:space="preserve">Protein Bar</t>
  </si>
  <si>
    <t xml:space="preserve">Low-sugar bar (no maltitol)</t>
  </si>
  <si>
    <t xml:space="preserve">1</t>
  </si>
  <si>
    <t xml:space="preserve">🌙 DINNER OPTIONS  (7:30–8:30 PM)</t>
  </si>
  <si>
    <t xml:space="preserve">Chicken Dinner</t>
  </si>
  <si>
    <t xml:space="preserve">small serving</t>
  </si>
  <si>
    <t xml:space="preserve">Egg Dinner</t>
  </si>
  <si>
    <t xml:space="preserve">2–3</t>
  </si>
  <si>
    <t xml:space="preserve">Rice/potatoes/sourdough</t>
  </si>
  <si>
    <t xml:space="preserve">Salmon Dinner</t>
  </si>
  <si>
    <t xml:space="preserve">Rice (optional)</t>
  </si>
  <si>
    <t xml:space="preserve">⚡ PRE-WORKOUT (5 PM)  &amp;  🥤 POST-WORKOUT SHAKE (6:30 PM)</t>
  </si>
  <si>
    <t xml:space="preserve">Timing</t>
  </si>
  <si>
    <t xml:space="preserve">Food</t>
  </si>
  <si>
    <t xml:space="preserve">PRE</t>
  </si>
  <si>
    <t xml:space="preserve">Black coffee</t>
  </si>
  <si>
    <t xml:space="preserve">Banana or rice cake</t>
  </si>
  <si>
    <t xml:space="preserve">½ banana or 1–2 cakes</t>
  </si>
  <si>
    <t xml:space="preserve">POST</t>
  </si>
  <si>
    <t xml:space="preserve">Whey (with water)</t>
  </si>
  <si>
    <t xml:space="preserve">1 scoop</t>
  </si>
  <si>
    <t xml:space="preserve">Whey (with LF milk)</t>
  </si>
  <si>
    <t xml:space="preserve">1 scoop + 250ml</t>
  </si>
  <si>
    <t xml:space="preserve">🌿  AADILA'S IBS-FRIENDLY EATING GUIDE</t>
  </si>
  <si>
    <t xml:space="preserve">IBS is individual — track your own triggers. Low-FODMAP is a starting point, not a forever rule.</t>
  </si>
  <si>
    <t xml:space="preserve">✅  SAFER FOODS — EAT FREELY</t>
  </si>
  <si>
    <t xml:space="preserve">Category</t>
  </si>
  <si>
    <t xml:space="preserve">Better Options</t>
  </si>
  <si>
    <t xml:space="preserve">Why It's Safe</t>
  </si>
  <si>
    <t xml:space="preserve">Icon</t>
  </si>
  <si>
    <t xml:space="preserve">Carbs</t>
  </si>
  <si>
    <t xml:space="preserve">Rice, oats, potatoes, sourdough bread</t>
  </si>
  <si>
    <t xml:space="preserve">Easy to digest, gentle on gut</t>
  </si>
  <si>
    <t xml:space="preserve">🍚🌾🥔</t>
  </si>
  <si>
    <t xml:space="preserve">Protein</t>
  </si>
  <si>
    <t xml:space="preserve">Chicken, fish, eggs, tofu</t>
  </si>
  <si>
    <t xml:space="preserve">Lean proteins — very low IBS risk</t>
  </si>
  <si>
    <t xml:space="preserve">🍗🐟🥚</t>
  </si>
  <si>
    <t xml:space="preserve">Dairy</t>
  </si>
  <si>
    <t xml:space="preserve">Lactose-free Greek yogurt, LF milk</t>
  </si>
  <si>
    <t xml:space="preserve">Removes lactose which can trigger bloating</t>
  </si>
  <si>
    <t xml:space="preserve">🥛</t>
  </si>
  <si>
    <t xml:space="preserve">Vegetables</t>
  </si>
  <si>
    <t xml:space="preserve">Cooked carrots, zucchini, spinach, cucumber</t>
  </si>
  <si>
    <t xml:space="preserve">Cooked is easier than raw for digestion</t>
  </si>
  <si>
    <t xml:space="preserve">🥦</t>
  </si>
  <si>
    <t xml:space="preserve">Fruits</t>
  </si>
  <si>
    <t xml:space="preserve">Banana, berries, oranges, kiwi</t>
  </si>
  <si>
    <t xml:space="preserve">Lower FODMAP fruits — generally well tolerated</t>
  </si>
  <si>
    <t xml:space="preserve">🍌🫐</t>
  </si>
  <si>
    <t xml:space="preserve">Fats</t>
  </si>
  <si>
    <t xml:space="preserve">Olive oil, small ghee, peanut butter</t>
  </si>
  <si>
    <t xml:space="preserve">Moderate fat — avoid large amounts</t>
  </si>
  <si>
    <t xml:space="preserve">🫒</t>
  </si>
  <si>
    <t xml:space="preserve">Drinks</t>
  </si>
  <si>
    <t xml:space="preserve">Herbal tea (peppermint/ginger), water</t>
  </si>
  <si>
    <t xml:space="preserve">Can actively soothe gut symptoms</t>
  </si>
  <si>
    <t xml:space="preserve">🫖</t>
  </si>
  <si>
    <t xml:space="preserve">❌  LIMIT OR AVOID — IBS TRIGGERS</t>
  </si>
  <si>
    <t xml:space="preserve">Trigger</t>
  </si>
  <si>
    <t xml:space="preserve">Why to Limit</t>
  </si>
  <si>
    <t xml:space="preserve">IBS Risk Level</t>
  </si>
  <si>
    <t xml:space="preserve">Very spicy food</t>
  </si>
  <si>
    <t xml:space="preserve">Irritates gut lining — can cause cramping</t>
  </si>
  <si>
    <t xml:space="preserve">🔴 High</t>
  </si>
  <si>
    <t xml:space="preserve">🌶️</t>
  </si>
  <si>
    <t xml:space="preserve">Fried / heavy oily meals</t>
  </si>
  <si>
    <t xml:space="preserve">Slows digestion — causes bloating/discomfort</t>
  </si>
  <si>
    <t xml:space="preserve">🍟</t>
  </si>
  <si>
    <t xml:space="preserve">Creamy sauces</t>
  </si>
  <si>
    <t xml:space="preserve">High fat content triggers IBS symptoms</t>
  </si>
  <si>
    <t xml:space="preserve">🟠 Medium-High</t>
  </si>
  <si>
    <t xml:space="preserve">🍦</t>
  </si>
  <si>
    <t xml:space="preserve">Raw/high-fibre salads</t>
  </si>
  <si>
    <t xml:space="preserve">Raw veg harder to digest than cooked</t>
  </si>
  <si>
    <t xml:space="preserve">🟠 Medium</t>
  </si>
  <si>
    <t xml:space="preserve">🥗</t>
  </si>
  <si>
    <t xml:space="preserve">Artificial sweeteners (maltitol, sorbitol)</t>
  </si>
  <si>
    <t xml:space="preserve">Very common IBS trigger — avoid in protein bars</t>
  </si>
  <si>
    <t xml:space="preserve">🍬</t>
  </si>
  <si>
    <t xml:space="preserve">Excess coffee (&gt;1–2 cups)</t>
  </si>
  <si>
    <t xml:space="preserve">Stimulates gut — can cause urgency</t>
  </si>
  <si>
    <t xml:space="preserve">☕</t>
  </si>
  <si>
    <t xml:space="preserve">Alcohol</t>
  </si>
  <si>
    <t xml:space="preserve">Disrupts gut lining and microbiome</t>
  </si>
  <si>
    <t xml:space="preserve">🍺</t>
  </si>
  <si>
    <t xml:space="preserve">Carbonated drinks</t>
  </si>
  <si>
    <t xml:space="preserve">Gas causes bloating and discomfort</t>
  </si>
  <si>
    <t xml:space="preserve">🟡 Low-Med</t>
  </si>
  <si>
    <t xml:space="preserve">🥤</t>
  </si>
  <si>
    <t xml:space="preserve">📅  AADILA'S WEEKLY MEAL &amp; WORKOUT PLANNER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</si>
  <si>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</si>
  <si>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</si>
  <si>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</si>
  <si>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</si>
  <si>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</si>
  <si>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</si>
  <si>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</si>
  <si>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Chicken Bowl</t>
  </si>
  <si>
    <t xml:space="preserve">Yogurt+Fruit</t>
  </si>
  <si>
    <t xml:space="preserve">Nuts</t>
  </si>
  <si>
    <t xml:space="preserve">Pre-WO</t>
  </si>
  <si>
    <t xml:space="preserve">Coffee+Banana</t>
  </si>
  <si>
    <t xml:space="preserve">Coffee</t>
  </si>
  <si>
    <t xml:space="preserve">—</t>
  </si>
  <si>
    <t xml:space="preserve">Post-WO Shake</t>
  </si>
  <si>
    <t xml:space="preserve">Whey+Water</t>
  </si>
  <si>
    <t xml:space="preserve">Whey+LF Milk</t>
  </si>
  <si>
    <t xml:space="preserve">Chicken</t>
  </si>
  <si>
    <t xml:space="preserve">Workout</t>
  </si>
  <si>
    <t xml:space="preserve">Orange 60 🔥</t>
  </si>
  <si>
    <t xml:space="preserve">Strength 50 💪</t>
  </si>
  <si>
    <t xml:space="preserve">Rest / Walk</t>
  </si>
  <si>
    <t xml:space="preserve">Light Walk</t>
  </si>
  <si>
    <t xml:space="preserve">Rest 😴</t>
  </si>
  <si>
    <t xml:space="preserve">Notes</t>
  </si>
  <si>
    <t xml:space="preserve">Glute focus</t>
  </si>
  <si>
    <t xml:space="preserve">Upper body</t>
  </si>
  <si>
    <t xml:space="preserve">Recovery</t>
  </si>
  <si>
    <t xml:space="preserve">HIIT push</t>
  </si>
  <si>
    <t xml:space="preserve">Leg day</t>
  </si>
  <si>
    <t xml:space="preserve">Meal prep</t>
  </si>
  <si>
    <t xml:space="preserve">Full rest</t>
  </si>
  <si>
    <t xml:space="preserve">🥚  AADILA'S DAILY PROTEIN SPLIT GUIDE</t>
  </si>
  <si>
    <t xml:space="preserve">Spreading protein evenly across 5 meals is easier on IBS and more effective for muscle building</t>
  </si>
  <si>
    <t xml:space="preserve">✅  NORMAL DAY — Target 90–105g Protein</t>
  </si>
  <si>
    <t xml:space="preserve">Protein Target</t>
  </si>
  <si>
    <t xml:space="preserve">Example Foods</t>
  </si>
  <si>
    <t xml:space="preserve">Calories Est.</t>
  </si>
  <si>
    <t xml:space="preserve">🌅 Breakfast</t>
  </si>
  <si>
    <t xml:space="preserve">20–25g</t>
  </si>
  <si>
    <t xml:space="preserve">2 eggs + 2 whites + sourdough / oats + ½ scoop whey</t>
  </si>
  <si>
    <t xml:space="preserve">325–400 kcal</t>
  </si>
  <si>
    <t xml:space="preserve">🥗 Lunch</t>
  </si>
  <si>
    <t xml:space="preserve">12:00–1:00 PM</t>
  </si>
  <si>
    <t xml:space="preserve">25–30g</t>
  </si>
  <si>
    <t xml:space="preserve">Chicken breast / salmon / tofu with rice + veg</t>
  </si>
  <si>
    <t xml:space="preserve">480–570 kcal</t>
  </si>
  <si>
    <t xml:space="preserve">🍎 Snack</t>
  </si>
  <si>
    <t xml:space="preserve">3:30–4:00 PM</t>
  </si>
  <si>
    <t xml:space="preserve">10–15g</t>
  </si>
  <si>
    <t xml:space="preserve">Greek yogurt + fruit / small protein bar</t>
  </si>
  <si>
    <t xml:space="preserve">200–300 kcal</t>
  </si>
  <si>
    <t xml:space="preserve">🥤 Post-Workout</t>
  </si>
  <si>
    <t xml:space="preserve">6:30–7:00 PM</t>
  </si>
  <si>
    <t xml:space="preserve">½–1 scoop whey with water or lactose-free milk</t>
  </si>
  <si>
    <t xml:space="preserve">65–140 kcal</t>
  </si>
  <si>
    <t xml:space="preserve">🌙 Dinner</t>
  </si>
  <si>
    <t xml:space="preserve">Chicken / salmon / eggs with rice or potatoes + veg</t>
  </si>
  <si>
    <t xml:space="preserve">380–510 kcal</t>
  </si>
  <si>
    <t xml:space="preserve">🍫 Optional Sweet</t>
  </si>
  <si>
    <t xml:space="preserve">0–2g</t>
  </si>
  <si>
    <t xml:space="preserve">Dark chocolate / small fruit dessert</t>
  </si>
  <si>
    <t xml:space="preserve">80–150 kcal</t>
  </si>
  <si>
    <t xml:space="preserve">90–105g</t>
  </si>
  <si>
    <t xml:space="preserve">~1700–1900 kcal</t>
  </si>
  <si>
    <t xml:space="preserve">⚠️  IBS FLARE DAY — Target 70–85g Protein (gentler options)</t>
  </si>
  <si>
    <t xml:space="preserve">Gentler Food Options</t>
  </si>
  <si>
    <t xml:space="preserve">15–20g</t>
  </si>
  <si>
    <t xml:space="preserve">2 eggs + sourdough / plain oats + banana</t>
  </si>
  <si>
    <t xml:space="preserve">Skip dairy &amp; spice</t>
  </si>
  <si>
    <t xml:space="preserve">Plain chicken + white rice + cooked carrots/zucchini</t>
  </si>
  <si>
    <t xml:space="preserve">No raw veg</t>
  </si>
  <si>
    <t xml:space="preserve">5–10g</t>
  </si>
  <si>
    <t xml:space="preserve">Banana + small handful nuts / rice cakes</t>
  </si>
  <si>
    <t xml:space="preserve">Skip yogurt if flaring</t>
  </si>
  <si>
    <t xml:space="preserve">½ scoop whey with water only</t>
  </si>
  <si>
    <t xml:space="preserve">Skip milk</t>
  </si>
  <si>
    <t xml:space="preserve">Boiled chicken / eggs + plain rice + cooked veg</t>
  </si>
  <si>
    <t xml:space="preserve">Keep it simple</t>
  </si>
  <si>
    <t xml:space="preserve">70–85g</t>
  </si>
  <si>
    <t xml:space="preserve">~1500–1700 kcal</t>
  </si>
  <si>
    <t xml:space="preserve">💡  WHY BREAKFAST HELPS AADILA</t>
  </si>
  <si>
    <t xml:space="preserve">Benefit</t>
  </si>
  <si>
    <t xml:space="preserve">Why It Matters</t>
  </si>
  <si>
    <t xml:space="preserve">🌿</t>
  </si>
  <si>
    <t xml:space="preserve">IBS-friendly</t>
  </si>
  <si>
    <t xml:space="preserve">Smaller protein portions per meal = less digestive stress. No need to cram 40g+ in one sitting.</t>
  </si>
  <si>
    <t xml:space="preserve">💪</t>
  </si>
  <si>
    <t xml:space="preserve">Better muscle building</t>
  </si>
  <si>
    <t xml:space="preserve">Protein synthesis works best when spread across 4–5 meals rather than 2–3 big ones.</t>
  </si>
  <si>
    <t xml:space="preserve">⚡</t>
  </si>
  <si>
    <t xml:space="preserve">Better energy</t>
  </si>
  <si>
    <t xml:space="preserve">Eating breakfast fuels morning energy and reduces afternoon cravings before OTF.</t>
  </si>
  <si>
    <t xml:space="preserve">🧠</t>
  </si>
  <si>
    <t xml:space="preserve">Fewer cravings</t>
  </si>
  <si>
    <t xml:space="preserve">Consistent eating = stable blood sugar = less chance of binging after workouts.</t>
  </si>
  <si>
    <t xml:space="preserve">💡  TIPS, STRATEGY &amp; EXERCISES — AADILA'S PLAN</t>
  </si>
  <si>
    <t xml:space="preserve">🌸 KEY PRINCIPLES — TONED BODY + STRENGTH + IBS</t>
  </si>
  <si>
    <t xml:space="preserve">#</t>
  </si>
  <si>
    <t xml:space="preserve">Principle</t>
  </si>
  <si>
    <t xml:space="preserve">Detail</t>
  </si>
  <si>
    <t xml:space="preserve">Strong &gt; skinny</t>
  </si>
  <si>
    <t xml:space="preserve">Muscle gives shape. Don't chase a lower number — chase how you look and feel.</t>
  </si>
  <si>
    <t xml:space="preserve">🥩</t>
  </si>
  <si>
    <t xml:space="preserve">Protein every meal</t>
  </si>
  <si>
    <t xml:space="preserve">90–105g daily. Chicken, salmon, eggs, tofu, yogurt, and protein shake.</t>
  </si>
  <si>
    <t xml:space="preserve">🏋️</t>
  </si>
  <si>
    <t xml:space="preserve">Progressive overload</t>
  </si>
  <si>
    <t xml:space="preserve">Add weight every 1–2 weeks. This is what builds glutes and tone — not cardio.</t>
  </si>
  <si>
    <t xml:space="preserve">🍑</t>
  </si>
  <si>
    <t xml:space="preserve">Prioritise Strength 50</t>
  </si>
  <si>
    <t xml:space="preserve">Most important session for glute growth and muscle shaping. Go heavier each week.</t>
  </si>
  <si>
    <t xml:space="preserve">IBS first</t>
  </si>
  <si>
    <t xml:space="preserve">Avoid triggers even if the food is 'healthy'. Consistent digestion = consistent eating.</t>
  </si>
  <si>
    <t xml:space="preserve">😴</t>
  </si>
  <si>
    <t xml:space="preserve">Sleep 8 hours</t>
  </si>
  <si>
    <t xml:space="preserve">Muscle repair and fat burning happen at night. Non-negotiable.</t>
  </si>
  <si>
    <t xml:space="preserve">🍫</t>
  </si>
  <si>
    <t xml:space="preserve">Use the optional sweet</t>
  </si>
  <si>
    <t xml:space="preserve">80–150 kcal budgeted in. Stops cravings and prevents binging later.</t>
  </si>
  <si>
    <t xml:space="preserve">💧</t>
  </si>
  <si>
    <t xml:space="preserve">2–2.5L water daily</t>
  </si>
  <si>
    <t xml:space="preserve">Supports digestion, reduces IBS symptoms, improves muscle performance.</t>
  </si>
  <si>
    <t xml:space="preserve">📈</t>
  </si>
  <si>
    <t xml:space="preserve">Track monthly — not daily</t>
  </si>
  <si>
    <t xml:space="preserve">Weight fluctuates daily. Compare monthly photos + waist + strength numbers.</t>
  </si>
  <si>
    <t xml:space="preserve">🔄</t>
  </si>
  <si>
    <t xml:space="preserve">80% consistency is enough</t>
  </si>
  <si>
    <t xml:space="preserve">Perfect is the enemy of good. Showing up most days beats the perfect plan.</t>
  </si>
  <si>
    <t xml:space="preserve">🍑  BEST EXERCISES FOR HER GOALS</t>
  </si>
  <si>
    <t xml:space="preserve">Goal</t>
  </si>
  <si>
    <t xml:space="preserve">Best Exercises</t>
  </si>
  <si>
    <t xml:space="preserve">Why / Notes</t>
  </si>
  <si>
    <t xml:space="preserve">Priority</t>
  </si>
  <si>
    <t xml:space="preserve">🍑 Glute growth</t>
  </si>
  <si>
    <t xml:space="preserve">Hip thrusts, RDLs, Squats, Lunges, Step-ups</t>
  </si>
  <si>
    <t xml:space="preserve">#1 exercises for glute shape. Go HEAVY with good form.</t>
  </si>
  <si>
    <t xml:space="preserve">🔴 Highest</t>
  </si>
  <si>
    <t xml:space="preserve">💪 Toned stomach</t>
  </si>
  <si>
    <t xml:space="preserve">Planks, Dead bugs, Farmer carries + fat loss</t>
  </si>
  <si>
    <t xml:space="preserve">Visible abs = low body fat + core strength. Nutrition is key.</t>
  </si>
  <si>
    <t xml:space="preserve">🟠 High</t>
  </si>
  <si>
    <t xml:space="preserve">👆 Upper body tone</t>
  </si>
  <si>
    <t xml:space="preserve">Shoulder press, Rows, Lat pulldowns</t>
  </si>
  <si>
    <t xml:space="preserve">Creates toned arms and improves posture long-term.</t>
  </si>
  <si>
    <t xml:space="preserve">🤱 Chest &amp; posture</t>
  </si>
  <si>
    <t xml:space="preserve">Chest press, Push-ups, Cable flyes, Rear delt rows</t>
  </si>
  <si>
    <t xml:space="preserve">Builds pec muscle — lifts and improves chest shape + posture.</t>
  </si>
  <si>
    <t xml:space="preserve">🟡 Medium</t>
  </si>
  <si>
    <t xml:space="preserve">🦵 Toned legs</t>
  </si>
  <si>
    <t xml:space="preserve">Leg press, Bulgarian split squats, Step-ups</t>
  </si>
  <si>
    <t xml:space="preserve">Full leg development for lean, athletic look.</t>
  </si>
  <si>
    <t xml:space="preserve">💪 Overall strength</t>
  </si>
  <si>
    <t xml:space="preserve">Progressive heavier weights each week</t>
  </si>
  <si>
    <t xml:space="preserve">More weight = more muscle signal = more shape over time.</t>
  </si>
  <si>
    <t xml:space="preserve">✅  SIMPLE DAILY RULES</t>
  </si>
  <si>
    <t xml:space="preserve">Rule</t>
  </si>
  <si>
    <t xml:space="preserve">What to Do</t>
  </si>
  <si>
    <t xml:space="preserve">Why</t>
  </si>
  <si>
    <t xml:space="preserve">Tick</t>
  </si>
  <si>
    <t xml:space="preserve">Chicken, eggs, fish, tofu, yogurt, shake</t>
  </si>
  <si>
    <t xml:space="preserve">Muscle repair needs amino acids throughout the day</t>
  </si>
  <si>
    <t xml:space="preserve">□</t>
  </si>
  <si>
    <t xml:space="preserve">Don't cut too low</t>
  </si>
  <si>
    <t xml:space="preserve">Stay ~1700–1900 kcal</t>
  </si>
  <si>
    <t xml:space="preserve">Too little = muscle loss, hormonal issues, low energy</t>
  </si>
  <si>
    <t xml:space="preserve">Lift heavier gradually</t>
  </si>
  <si>
    <t xml:space="preserve">Especially in Strength 50 sessions</t>
  </si>
  <si>
    <t xml:space="preserve">Progressive overload is the #1 driver of change</t>
  </si>
  <si>
    <t xml:space="preserve">Carbs around workouts</t>
  </si>
  <si>
    <t xml:space="preserve">Rice, banana, potatoes before/after OTF</t>
  </si>
  <si>
    <t xml:space="preserve">Fuel performance and recovery</t>
  </si>
  <si>
    <t xml:space="preserve">IBS-friendly choices</t>
  </si>
  <si>
    <t xml:space="preserve">Avoid triggers even on good days</t>
  </si>
  <si>
    <t xml:space="preserve">Consistent digestion = consistent nutrition</t>
  </si>
  <si>
    <t xml:space="preserve">Track progress monthly</t>
  </si>
  <si>
    <t xml:space="preserve">Weight, waist, glutes, strength, photos</t>
  </si>
  <si>
    <t xml:space="preserve">Daily scale isn't accurate — monthly trends are</t>
  </si>
  <si>
    <t xml:space="preserve">📈  AADILA'S DAILY NUTRITION &amp; WORKOUT TRACKER</t>
  </si>
  <si>
    <t xml:space="preserve">Check ✓ on workout days · Log protein each meal · Watch your daily totals</t>
  </si>
  <si>
    <t xml:space="preserve">🟢 Goal met    🔴 Below    🟡 Close</t>
  </si>
  <si>
    <t xml:space="preserve">Workout day: ~1900 kcal  |  Rest day: ~1700 kcal  |  Protein: 90–105g (flare days: 70–85g)</t>
  </si>
  <si>
    <t xml:space="preserve">Date</t>
  </si>
  <si>
    <t xml:space="preserve">Day</t>
  </si>
  <si>
    <t xml:space="preserve">Workout?
(✓/✗)</t>
  </si>
  <si>
    <t xml:space="preserve">Cal Target
(kcal)</t>
  </si>
  <si>
    <t xml:space="preserve">Breakfast
Protein (g)</t>
  </si>
  <si>
    <t xml:space="preserve">Lunch
Protein (g)</t>
  </si>
  <si>
    <t xml:space="preserve">Snack
Protein (g)</t>
  </si>
  <si>
    <t xml:space="preserve">Shake
Protein (g)</t>
  </si>
  <si>
    <t xml:space="preserve">Dinner
Protein (g)</t>
  </si>
  <si>
    <t xml:space="preserve">Total
Protein (g)</t>
  </si>
  <si>
    <t xml:space="preserve">Calories
Eaten (kcal)</t>
  </si>
  <si>
    <t xml:space="preserve">Calorie
Goal Met?</t>
  </si>
  <si>
    <t xml:space="preserve">Protein
Goal Met?</t>
  </si>
  <si>
    <t xml:space="preserve">Notes / IBS Log</t>
  </si>
  <si>
    <t xml:space="preserve">Thu</t>
  </si>
  <si>
    <t xml:space="preserve">✓</t>
  </si>
  <si>
    <t xml:space="preserve">Fri</t>
  </si>
  <si>
    <t xml:space="preserve">Sat</t>
  </si>
  <si>
    <t xml:space="preserve">Sun</t>
  </si>
  <si>
    <t xml:space="preserve">Mon</t>
  </si>
  <si>
    <t xml:space="preserve">Tue</t>
  </si>
  <si>
    <t xml:space="preserve">Wed</t>
  </si>
  <si>
    <t xml:space="preserve">30-DAY SUMMARY</t>
  </si>
  <si>
    <t xml:space="preserve">Workout Days</t>
  </si>
  <si>
    <t xml:space="preserve">Avg Cal Target</t>
  </si>
  <si>
    <t xml:space="preserve">Avg Protein/day</t>
  </si>
  <si>
    <t xml:space="preserve">Cal Goals Met</t>
  </si>
  <si>
    <t xml:space="preserve">Protein Goals Met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</si>
</sst>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dd\ mmm\ yyyy"/>
    <numFmt numFmtId="167" formatCode="#,##0&quot; kcal&quot;"/>
    <numFmt numFmtId="168" formatCode="0"/>
    <numFmt numFmtId="169" formatCode="0\g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1"/>
      <color rgb="FFAAAAAA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2"/>
      <color rgb="FFC2185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2D1B33"/>
      <name val="Calibri"/>
      <family val="0"/>
      <charset val="1"/>
    </font>
    <font>
      <sz val="9"/>
      <color rgb="FF2D1B33"/>
      <name val="Calibri"/>
      <family val="0"/>
      <charset val="1"/>
    </font>
    <font>
      <b val="true"/>
      <i val="true"/>
      <sz val="10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FFFFFF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10"/>
      <color rgb="FF888888"/>
      <name val="Calibri"/>
      <family val="0"/>
      <charset val="1"/>
    </font>
    <font>
      <b val="true"/>
      <sz val="10"/>
      <color rgb="FF2D1B33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0"/>
      <color rgb="FF999999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2"/>
      <color rgb="FF27AE60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sz val="11"/>
      <color rgb="FF2D1B33"/>
      <name val="Calibri"/>
      <family val="0"/>
      <charset val="1"/>
    </font>
    <font>
      <b val="true"/>
      <sz val="12"/>
      <color rgb="FFCCCCCC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4"/>
      <color rgb="FFC2185B"/>
      <name val="Calibri"/>
      <family val="0"/>
      <charset val="1"/>
    </font>
    <font>
      <b val="true"/>
      <sz val="14"/>
      <color rgb="FF2E7D32"/>
      <name val="Calibri"/>
      <family val="0"/>
      <charset val="1"/>
    </font>
    <font>
      <b val="true"/>
      <sz val="14"/>
      <color rgb="FF6B3FA0"/>
      <name val="Calibri"/>
      <family val="0"/>
      <charset val="1"/>
    </font>
    <font>
      <b val="true"/>
      <sz val="14"/>
      <color rgb="FF00695C"/>
      <name val="Calibri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2D1B33"/>
        <bgColor rgb="FF3D2645"/>
      </patternFill>
    </fill>
    <fill>
      <patternFill patternType="solid">
        <fgColor rgb="FF3D2645"/>
        <bgColor rgb="FF2D1B33"/>
      </patternFill>
    </fill>
    <fill>
      <patternFill patternType="solid">
        <fgColor rgb="FF6B3FA0"/>
        <bgColor rgb="FF5E437F"/>
      </patternFill>
    </fill>
    <fill>
      <patternFill patternType="solid">
        <fgColor rgb="FFFDECEA"/>
        <bgColor rgb="FFFBE9E7"/>
      </patternFill>
    </fill>
    <fill>
      <patternFill patternType="solid">
        <fgColor rgb="FFFFFFFF"/>
        <bgColor rgb="FFFFFDE7"/>
      </patternFill>
    </fill>
    <fill>
      <patternFill patternType="solid">
        <fgColor rgb="FFFDF0F7"/>
        <bgColor rgb="FFFFF0F5"/>
      </patternFill>
    </fill>
    <fill>
      <patternFill patternType="solid">
        <fgColor rgb="FFC2185B"/>
        <bgColor rgb="FFAD1457"/>
      </patternFill>
    </fill>
    <fill>
      <patternFill patternType="solid">
        <fgColor rgb="FF2E7D32"/>
        <bgColor rgb="FF00695C"/>
      </patternFill>
    </fill>
    <fill>
      <patternFill patternType="solid">
        <fgColor rgb="FFAD1457"/>
        <bgColor rgb="FFC2185B"/>
      </patternFill>
    </fill>
    <fill>
      <patternFill patternType="solid">
        <fgColor rgb="FF00695C"/>
        <bgColor rgb="FF2E7D32"/>
      </patternFill>
    </fill>
    <fill>
      <patternFill patternType="solid">
        <fgColor rgb="FFFFF5F5"/>
        <bgColor rgb="FFFFF0F5"/>
      </patternFill>
    </fill>
    <fill>
      <patternFill patternType="solid">
        <fgColor rgb="FF37474F"/>
        <bgColor rgb="FF555555"/>
      </patternFill>
    </fill>
    <fill>
      <patternFill patternType="solid">
        <fgColor rgb="FF4A148C"/>
        <bgColor rgb="FF3D2645"/>
      </patternFill>
    </fill>
    <fill>
      <patternFill patternType="solid">
        <fgColor rgb="FF1A237E"/>
        <bgColor rgb="FF3D2645"/>
      </patternFill>
    </fill>
    <fill>
      <patternFill patternType="solid">
        <fgColor rgb="FFE65100"/>
        <bgColor rgb="FFCE3A36"/>
      </patternFill>
    </fill>
    <fill>
      <patternFill patternType="solid">
        <fgColor rgb="FFE8F5E9"/>
        <bgColor rgb="FFE0F2F1"/>
      </patternFill>
    </fill>
    <fill>
      <patternFill patternType="solid">
        <fgColor rgb="FFFFF0F5"/>
        <bgColor rgb="FFFDF0F7"/>
      </patternFill>
    </fill>
    <fill>
      <patternFill patternType="solid">
        <fgColor rgb="FFF3E5F5"/>
        <bgColor rgb="FFEDE7F6"/>
      </patternFill>
    </fill>
    <fill>
      <patternFill patternType="solid">
        <fgColor rgb="FFFDE8EF"/>
        <bgColor rgb="FFFBE9E7"/>
      </patternFill>
    </fill>
    <fill>
      <patternFill patternType="solid">
        <fgColor rgb="FFE0F2F1"/>
        <bgColor rgb="FFE8F5E9"/>
      </patternFill>
    </fill>
    <fill>
      <patternFill patternType="solid">
        <fgColor rgb="FFFBE9E7"/>
        <bgColor rgb="FFFDECEA"/>
      </patternFill>
    </fill>
    <fill>
      <patternFill patternType="solid">
        <fgColor rgb="FFEDE7F6"/>
        <bgColor rgb="FFF3E5F5"/>
      </patternFill>
    </fill>
    <fill>
      <patternFill patternType="solid">
        <fgColor rgb="FFFFF8E1"/>
        <bgColor rgb="FFFFFDE7"/>
      </patternFill>
    </fill>
    <fill>
      <patternFill patternType="solid">
        <fgColor rgb="FFFFFDE7"/>
        <bgColor rgb="FFFFF8E1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C2185B"/>
      </left>
      <right/>
      <top style="medium">
        <color rgb="FFC2185B"/>
      </top>
      <bottom/>
      <diagonal/>
    </border>
    <border diagonalUp="false" diagonalDown="false"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2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2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E3A36"/>
      <rgbColor rgb="FFFFF5F5"/>
      <rgbColor rgb="FF0000FF"/>
      <rgbColor rgb="FFFDECEA"/>
      <rgbColor rgb="FFFF00FF"/>
      <rgbColor rgb="FF4F81BD"/>
      <rgbColor rgb="FF555555"/>
      <rgbColor rgb="FF2E7D32"/>
      <rgbColor rgb="FF000080"/>
      <rgbColor rgb="FF779637"/>
      <rgbColor rgb="FF6B3FA0"/>
      <rgbColor rgb="FF00695C"/>
      <rgbColor rgb="FFCCCCCC"/>
      <rgbColor rgb="FF878787"/>
      <rgbColor rgb="FFAAAAAA"/>
      <rgbColor rgb="FFAD1457"/>
      <rgbColor rgb="FFFFF8E1"/>
      <rgbColor rgb="FFE0F2F1"/>
      <rgbColor rgb="FF4A148C"/>
      <rgbColor rgb="FFC0504D"/>
      <rgbColor rgb="FF2E5F99"/>
      <rgbColor rgb="FFD9D9D9"/>
      <rgbColor rgb="FF000080"/>
      <rgbColor rgb="FFFF00FF"/>
      <rgbColor rgb="FFFDE8EF"/>
      <rgbColor rgb="FFFDF0F7"/>
      <rgbColor rgb="FF7B57A7"/>
      <rgbColor rgb="FF800000"/>
      <rgbColor rgb="FF2988A1"/>
      <rgbColor rgb="FF0000FF"/>
      <rgbColor rgb="FF4BACC6"/>
      <rgbColor rgb="FFE8F5E9"/>
      <rgbColor rgb="FFEDE7F6"/>
      <rgbColor rgb="FFFFFDE7"/>
      <rgbColor rgb="FF99CCFF"/>
      <rgbColor rgb="FFF3E5F5"/>
      <rgbColor rgb="FF888888"/>
      <rgbColor rgb="FFFBE9E7"/>
      <rgbColor rgb="FF397BCA"/>
      <rgbColor rgb="FF34B3D5"/>
      <rgbColor rgb="FF9CC745"/>
      <rgbColor rgb="FF9BBB59"/>
      <rgbColor rgb="FFFFF0F5"/>
      <rgbColor rgb="FFE65100"/>
      <rgbColor rgb="FF8064A2"/>
      <rgbColor rgb="FF999999"/>
      <rgbColor rgb="FF1A237E"/>
      <rgbColor rgb="FF27AE60"/>
      <rgbColor rgb="FF37474F"/>
      <rgbColor rgb="FF2D1B33"/>
      <rgbColor rgb="FF9C2F2C"/>
      <rgbColor rgb="FFC2185B"/>
      <rgbColor rgb="FF5E437F"/>
      <rgbColor rgb="FF3D26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Protein by Meal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'📊 Dashboard'!H8</c:f>
              <c:strCache>
                <c:ptCount val="1"/>
                <c:pt idx="0">
                  <c:v>Protein (g)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explosion val="0"/>
          <c:dPt>
            <c:idx val="0"/>
            <c:spPr>
              <a:gradFill>
                <a:gsLst>
                  <a:gs pos="0">
                    <a:srgbClr val="2e5f99"/>
                  </a:gs>
                  <a:gs pos="80000">
                    <a:srgbClr val="3c7ac7"/>
                  </a:gs>
                  <a:gs pos="100000">
                    <a:srgbClr val="397bca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1"/>
            <c:spPr>
              <a:gradFill>
                <a:gsLst>
                  <a:gs pos="0">
                    <a:srgbClr val="9c2f2c"/>
                  </a:gs>
                  <a:gs pos="80000">
                    <a:srgbClr val="cb3d39"/>
                  </a:gs>
                  <a:gs pos="100000">
                    <a:srgbClr val="ce3a36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2"/>
            <c:spPr>
              <a:gradFill>
                <a:gsLst>
                  <a:gs pos="0">
                    <a:srgbClr val="779637"/>
                  </a:gs>
                  <a:gs pos="80000">
                    <a:srgbClr val="9bc348"/>
                  </a:gs>
                  <a:gs pos="100000">
                    <a:srgbClr val="9cc745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3"/>
            <c:spPr>
              <a:gradFill>
                <a:gsLst>
                  <a:gs pos="0">
                    <a:srgbClr val="5e437f"/>
                  </a:gs>
                  <a:gs pos="80000">
                    <a:srgbClr val="7b57a5"/>
                  </a:gs>
                  <a:gs pos="100000">
                    <a:srgbClr val="7b57a7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4"/>
            <c:spPr>
              <a:gradFill>
                <a:gsLst>
                  <a:gs pos="0">
                    <a:srgbClr val="2988a1"/>
                  </a:gs>
                  <a:gs pos="80000">
                    <a:srgbClr val="36b0d1"/>
                  </a:gs>
                  <a:gs pos="100000">
                    <a:srgbClr val="34b3d5"/>
                  </a:gs>
                </a:gsLst>
                <a:lin ang="16200000"/>
              </a:gra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'📊 Dashboard'!$G$9:$G$13</c:f>
              <c:strCache>
                <c:ptCount val="5"/>
                <c:pt idx="0">
                  <c:v>Lunch</c:v>
                </c:pt>
                <c:pt idx="1">
                  <c:v>Snack</c:v>
                </c:pt>
                <c:pt idx="2">
                  <c:v>Shake</c:v>
                </c:pt>
                <c:pt idx="3">
                  <c:v>Dinner</c:v>
                </c:pt>
                <c:pt idx="4">
                  <c:v>Sweet</c:v>
                </c:pt>
              </c:strCache>
            </c:strRef>
          </c:cat>
          <c:val>
            <c:numRef>
              <c:f>'📊 Dashboard'!$H$9:$H$13</c:f>
              <c:numCache>
                <c:formatCode>General</c:formatCode>
                <c:ptCount val="5"/>
                <c:pt idx="0">
                  <c:v>40</c:v>
                </c:pt>
                <c:pt idx="1">
                  <c:v>22</c:v>
                </c:pt>
                <c:pt idx="2">
                  <c:v>28</c:v>
                </c:pt>
                <c:pt idx="3">
                  <c:v>35</c:v>
                </c:pt>
                <c:pt idx="4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Calories by Meal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Dashboard'!C8</c:f>
              <c:strCache>
                <c:ptCount val="1"/>
                <c:pt idx="0">
                  <c:v>Calories (kcal)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Dashboard'!$B$9:$B$14</c:f>
              <c:strCache>
                <c:ptCount val="6"/>
                <c:pt idx="0">
                  <c:v>Breakfast (e.g. Eggs + Sourdough Toast)</c:v>
                </c:pt>
                <c:pt idx="1">
                  <c:v>Lunch (e.g. Chicken Rice Bowl)</c:v>
                </c:pt>
                <c:pt idx="2">
                  <c:v>Snack (e.g. Greek Yogurt + Fruit)</c:v>
                </c:pt>
                <c:pt idx="3">
                  <c:v>Post-Workout Shake (½–1 scoop)</c:v>
                </c:pt>
                <c:pt idx="4">
                  <c:v>Dinner (e.g. Salmon + Veggies)</c:v>
                </c:pt>
                <c:pt idx="5">
                  <c:v>Optional Sweet (dark choc)</c:v>
                </c:pt>
              </c:strCache>
            </c:strRef>
          </c:cat>
          <c:val>
            <c:numRef>
              <c:f>'📊 Dashboard'!$C$9:$C$14</c:f>
              <c:numCache>
                <c:formatCode>General</c:formatCode>
                <c:ptCount val="6"/>
                <c:pt idx="0">
                  <c:v>360</c:v>
                </c:pt>
                <c:pt idx="1">
                  <c:v>530</c:v>
                </c:pt>
                <c:pt idx="2">
                  <c:v>270</c:v>
                </c:pt>
                <c:pt idx="3">
                  <c:v>130</c:v>
                </c:pt>
                <c:pt idx="4">
                  <c:v>430</c:v>
                </c:pt>
                <c:pt idx="5">
                  <c:v>120</c:v>
                </c:pt>
              </c:numCache>
            </c:numRef>
          </c:val>
        </c:ser>
        <c:gapWidth val="150"/>
        <c:overlap val="0"/>
        <c:axId val="38508311"/>
        <c:axId val="77925060"/>
      </c:barChart>
      <c:catAx>
        <c:axId val="385083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25060"/>
        <c:crosses val="autoZero"/>
        <c:auto val="1"/>
        <c:lblAlgn val="ctr"/>
        <c:lblOffset val="100"/>
        <c:noMultiLvlLbl val="0"/>
      </c:catAx>
      <c:valAx>
        <c:axId val="779250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083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4</xdr:col>
      <xdr:colOff>246240</xdr:colOff>
      <xdr:row>33</xdr:row>
      <xdr:rowOff>246600</xdr:rowOff>
    </xdr:to>
    <xdr:graphicFrame>
      <xdr:nvGraphicFramePr>
        <xdr:cNvPr id="0" name="Chart 1"/>
        <xdr:cNvGraphicFramePr/>
      </xdr:nvGraphicFramePr>
      <xdr:xfrm>
        <a:off x="0" y="425772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16</xdr:row>
      <xdr:rowOff>0</xdr:rowOff>
    </xdr:from>
    <xdr:to>
      <xdr:col>11</xdr:col>
      <xdr:colOff>72720</xdr:colOff>
      <xdr:row>33</xdr:row>
      <xdr:rowOff>246600</xdr:rowOff>
    </xdr:to>
    <xdr:graphicFrame>
      <xdr:nvGraphicFramePr>
        <xdr:cNvPr id="1" name="Chart 2"/>
        <xdr:cNvGraphicFramePr/>
      </xdr:nvGraphicFramePr>
      <xdr:xfrm>
        <a:off x="5779800" y="4257720"/>
        <a:ext cx="57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6"/>
    <col collapsed="false" customWidth="true" hidden="false" outlineLevel="0" max="6" min="4" style="1" width="14"/>
    <col collapsed="false" customWidth="true" hidden="false" outlineLevel="0" max="7" min="7" style="1" width="16"/>
    <col collapsed="false" customWidth="true" hidden="false" outlineLevel="0" max="10" min="8" style="1" width="14"/>
  </cols>
  <sheetData>
    <row r="1" customFormat="false" ht="54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5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9.5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  <c r="I4" s="4" t="s">
        <v>6</v>
      </c>
      <c r="J4" s="4"/>
    </row>
    <row r="5" customFormat="false" ht="19.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7" customFormat="false" ht="21.75" hidden="false" customHeight="true" outlineLevel="0" collapsed="false">
      <c r="A7" s="5" t="s">
        <v>7</v>
      </c>
      <c r="B7" s="5"/>
      <c r="C7" s="5"/>
      <c r="D7" s="5"/>
      <c r="E7" s="5"/>
      <c r="F7" s="5"/>
      <c r="G7" s="5"/>
      <c r="H7" s="5"/>
      <c r="I7" s="5"/>
      <c r="J7" s="5"/>
    </row>
    <row r="8" customFormat="false" ht="19.5" hidden="false" customHeight="true" outlineLevel="0" collapsed="false">
      <c r="A8" s="6" t="s">
        <v>8</v>
      </c>
      <c r="B8" s="6" t="s">
        <v>9</v>
      </c>
      <c r="C8" s="6" t="s">
        <v>10</v>
      </c>
      <c r="D8" s="6" t="s">
        <v>11</v>
      </c>
      <c r="G8" s="1" t="s">
        <v>9</v>
      </c>
      <c r="H8" s="1" t="s">
        <v>11</v>
      </c>
    </row>
    <row r="9" customFormat="false" ht="18" hidden="false" customHeight="true" outlineLevel="0" collapsed="false">
      <c r="A9" s="7" t="s">
        <v>12</v>
      </c>
      <c r="B9" s="8" t="s">
        <v>13</v>
      </c>
      <c r="C9" s="8" t="n">
        <v>360</v>
      </c>
      <c r="D9" s="8" t="n">
        <v>25</v>
      </c>
      <c r="G9" s="9" t="s">
        <v>14</v>
      </c>
      <c r="H9" s="9" t="n">
        <v>40</v>
      </c>
    </row>
    <row r="10" customFormat="false" ht="18" hidden="false" customHeight="true" outlineLevel="0" collapsed="false">
      <c r="A10" s="10" t="s">
        <v>15</v>
      </c>
      <c r="B10" s="11" t="s">
        <v>16</v>
      </c>
      <c r="C10" s="11" t="n">
        <v>530</v>
      </c>
      <c r="D10" s="11" t="n">
        <v>28</v>
      </c>
      <c r="G10" s="9" t="s">
        <v>17</v>
      </c>
      <c r="H10" s="9" t="n">
        <v>22</v>
      </c>
    </row>
    <row r="11" customFormat="false" ht="18" hidden="false" customHeight="true" outlineLevel="0" collapsed="false">
      <c r="A11" s="7" t="s">
        <v>18</v>
      </c>
      <c r="B11" s="8" t="s">
        <v>19</v>
      </c>
      <c r="C11" s="8" t="n">
        <v>270</v>
      </c>
      <c r="D11" s="8" t="n">
        <v>12</v>
      </c>
      <c r="G11" s="9" t="s">
        <v>20</v>
      </c>
      <c r="H11" s="9" t="n">
        <v>28</v>
      </c>
    </row>
    <row r="12" customFormat="false" ht="18" hidden="false" customHeight="true" outlineLevel="0" collapsed="false">
      <c r="A12" s="10" t="s">
        <v>21</v>
      </c>
      <c r="B12" s="11" t="s">
        <v>22</v>
      </c>
      <c r="C12" s="11" t="n">
        <v>130</v>
      </c>
      <c r="D12" s="11" t="n">
        <v>22</v>
      </c>
      <c r="G12" s="9" t="s">
        <v>23</v>
      </c>
      <c r="H12" s="9" t="n">
        <v>35</v>
      </c>
    </row>
    <row r="13" customFormat="false" ht="18" hidden="false" customHeight="true" outlineLevel="0" collapsed="false">
      <c r="A13" s="7" t="s">
        <v>24</v>
      </c>
      <c r="B13" s="8" t="s">
        <v>25</v>
      </c>
      <c r="C13" s="8" t="n">
        <v>430</v>
      </c>
      <c r="D13" s="8" t="n">
        <v>28</v>
      </c>
      <c r="G13" s="9" t="s">
        <v>26</v>
      </c>
      <c r="H13" s="9" t="n">
        <v>1</v>
      </c>
    </row>
    <row r="14" customFormat="false" ht="18" hidden="false" customHeight="true" outlineLevel="0" collapsed="false">
      <c r="A14" s="10" t="s">
        <v>27</v>
      </c>
      <c r="B14" s="11" t="s">
        <v>28</v>
      </c>
      <c r="C14" s="11" t="n">
        <v>120</v>
      </c>
      <c r="D14" s="11" t="n">
        <v>1</v>
      </c>
    </row>
    <row r="15" customFormat="false" ht="21.75" hidden="false" customHeight="true" outlineLevel="0" collapsed="false">
      <c r="A15" s="12" t="s">
        <v>29</v>
      </c>
      <c r="B15" s="12"/>
      <c r="C15" s="13" t="n">
        <f aca="false">SUM(C9:C14)</f>
        <v>1840</v>
      </c>
      <c r="D15" s="13" t="n">
        <f aca="false">SUM(D9:D14)</f>
        <v>116</v>
      </c>
    </row>
    <row r="33" customFormat="false" ht="24" hidden="false" customHeight="true" outlineLevel="0" collapsed="false">
      <c r="A33" s="14" t="s">
        <v>30</v>
      </c>
      <c r="B33" s="14"/>
      <c r="C33" s="14"/>
      <c r="D33" s="14"/>
    </row>
    <row r="34" customFormat="false" ht="19.5" hidden="false" customHeight="true" outlineLevel="0" collapsed="false">
      <c r="A34" s="6" t="s">
        <v>31</v>
      </c>
      <c r="B34" s="6" t="s">
        <v>32</v>
      </c>
      <c r="C34" s="6" t="s">
        <v>33</v>
      </c>
      <c r="D34" s="6" t="s">
        <v>34</v>
      </c>
    </row>
    <row r="35" customFormat="false" ht="18" hidden="false" customHeight="true" outlineLevel="0" collapsed="false">
      <c r="A35" s="11" t="s">
        <v>35</v>
      </c>
      <c r="B35" s="11" t="s">
        <v>36</v>
      </c>
      <c r="C35" s="11" t="s">
        <v>37</v>
      </c>
      <c r="D35" s="11" t="s">
        <v>38</v>
      </c>
    </row>
    <row r="36" customFormat="false" ht="18" hidden="false" customHeight="true" outlineLevel="0" collapsed="false">
      <c r="A36" s="8" t="s">
        <v>39</v>
      </c>
      <c r="B36" s="8" t="s">
        <v>40</v>
      </c>
      <c r="C36" s="8" t="s">
        <v>41</v>
      </c>
      <c r="D36" s="8" t="s">
        <v>42</v>
      </c>
    </row>
    <row r="37" customFormat="false" ht="18" hidden="false" customHeight="true" outlineLevel="0" collapsed="false">
      <c r="A37" s="11" t="s">
        <v>43</v>
      </c>
      <c r="B37" s="11" t="s">
        <v>44</v>
      </c>
      <c r="C37" s="11" t="s">
        <v>45</v>
      </c>
      <c r="D37" s="11" t="s">
        <v>46</v>
      </c>
    </row>
    <row r="38" customFormat="false" ht="18" hidden="false" customHeight="true" outlineLevel="0" collapsed="false">
      <c r="A38" s="8" t="s">
        <v>47</v>
      </c>
      <c r="B38" s="8" t="s">
        <v>48</v>
      </c>
      <c r="C38" s="8" t="s">
        <v>45</v>
      </c>
      <c r="D38" s="8" t="s">
        <v>49</v>
      </c>
    </row>
    <row r="39" customFormat="false" ht="18" hidden="false" customHeight="true" outlineLevel="0" collapsed="false">
      <c r="A39" s="11" t="s">
        <v>50</v>
      </c>
      <c r="B39" s="11" t="s">
        <v>51</v>
      </c>
      <c r="C39" s="11" t="s">
        <v>45</v>
      </c>
      <c r="D39" s="11" t="s">
        <v>49</v>
      </c>
    </row>
    <row r="40" customFormat="false" ht="21.75" hidden="false" customHeight="true" outlineLevel="0" collapsed="false">
      <c r="A40" s="15" t="s">
        <v>52</v>
      </c>
      <c r="B40" s="15"/>
      <c r="C40" s="15"/>
      <c r="D40" s="15"/>
    </row>
  </sheetData>
  <mergeCells count="11">
    <mergeCell ref="A1:J1"/>
    <mergeCell ref="A2:J2"/>
    <mergeCell ref="A4:B5"/>
    <mergeCell ref="C4:D5"/>
    <mergeCell ref="E4:F5"/>
    <mergeCell ref="G4:H5"/>
    <mergeCell ref="I4:J5"/>
    <mergeCell ref="A7:J7"/>
    <mergeCell ref="A15:B15"/>
    <mergeCell ref="A33:D33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5" min="4" style="1" width="14"/>
  </cols>
  <sheetData>
    <row r="1" customFormat="false" ht="45" hidden="false" customHeight="true" outlineLevel="0" collapsed="false">
      <c r="A1" s="16" t="s">
        <v>53</v>
      </c>
      <c r="B1" s="16"/>
      <c r="C1" s="16"/>
      <c r="D1" s="16"/>
      <c r="E1" s="16"/>
      <c r="F1" s="16"/>
    </row>
    <row r="3" customFormat="false" ht="25.5" hidden="false" customHeight="true" outlineLevel="0" collapsed="false">
      <c r="A3" s="17" t="s">
        <v>54</v>
      </c>
      <c r="B3" s="17"/>
      <c r="C3" s="17"/>
      <c r="D3" s="17"/>
      <c r="E3" s="17"/>
    </row>
    <row r="4" customFormat="false" ht="19.5" hidden="false" customHeight="true" outlineLevel="0" collapsed="false">
      <c r="A4" s="6" t="s">
        <v>55</v>
      </c>
      <c r="B4" s="6" t="s">
        <v>56</v>
      </c>
      <c r="C4" s="6" t="s">
        <v>57</v>
      </c>
      <c r="D4" s="6" t="s">
        <v>58</v>
      </c>
      <c r="E4" s="6" t="s">
        <v>11</v>
      </c>
    </row>
    <row r="5" customFormat="false" ht="18" hidden="false" customHeight="true" outlineLevel="0" collapsed="false">
      <c r="A5" s="8" t="s">
        <v>59</v>
      </c>
      <c r="B5" s="8" t="s">
        <v>60</v>
      </c>
      <c r="C5" s="8" t="s">
        <v>61</v>
      </c>
      <c r="D5" s="8" t="n">
        <v>140</v>
      </c>
      <c r="E5" s="8" t="n">
        <v>12</v>
      </c>
    </row>
    <row r="6" customFormat="false" ht="18" hidden="false" customHeight="true" outlineLevel="0" collapsed="false">
      <c r="A6" s="11"/>
      <c r="B6" s="11" t="s">
        <v>62</v>
      </c>
      <c r="C6" s="11" t="s">
        <v>61</v>
      </c>
      <c r="D6" s="11" t="n">
        <v>35</v>
      </c>
      <c r="E6" s="11" t="n">
        <v>8</v>
      </c>
    </row>
    <row r="7" customFormat="false" ht="18" hidden="false" customHeight="true" outlineLevel="0" collapsed="false">
      <c r="A7" s="8"/>
      <c r="B7" s="8" t="s">
        <v>63</v>
      </c>
      <c r="C7" s="8" t="s">
        <v>64</v>
      </c>
      <c r="D7" s="8" t="n">
        <v>100</v>
      </c>
      <c r="E7" s="8" t="n">
        <v>4</v>
      </c>
    </row>
    <row r="8" customFormat="false" ht="18" hidden="false" customHeight="true" outlineLevel="0" collapsed="false">
      <c r="A8" s="11"/>
      <c r="B8" s="11" t="s">
        <v>65</v>
      </c>
      <c r="C8" s="11" t="s">
        <v>66</v>
      </c>
      <c r="D8" s="11" t="n">
        <v>50</v>
      </c>
      <c r="E8" s="11" t="n">
        <v>1</v>
      </c>
    </row>
    <row r="9" customFormat="false" ht="18" hidden="false" customHeight="true" outlineLevel="0" collapsed="false">
      <c r="A9" s="13" t="s">
        <v>67</v>
      </c>
      <c r="B9" s="13"/>
      <c r="C9" s="13"/>
      <c r="D9" s="13" t="n">
        <v>325</v>
      </c>
      <c r="E9" s="13" t="n">
        <v>25</v>
      </c>
    </row>
    <row r="10" customFormat="false" ht="18" hidden="false" customHeight="true" outlineLevel="0" collapsed="false">
      <c r="A10" s="11" t="s">
        <v>68</v>
      </c>
      <c r="B10" s="11" t="s">
        <v>69</v>
      </c>
      <c r="C10" s="11" t="s">
        <v>70</v>
      </c>
      <c r="D10" s="11" t="n">
        <v>150</v>
      </c>
      <c r="E10" s="11" t="n">
        <v>5</v>
      </c>
    </row>
    <row r="11" customFormat="false" ht="18" hidden="false" customHeight="true" outlineLevel="0" collapsed="false">
      <c r="A11" s="8"/>
      <c r="B11" s="8" t="s">
        <v>71</v>
      </c>
      <c r="C11" s="8" t="s">
        <v>72</v>
      </c>
      <c r="D11" s="8" t="n">
        <v>65</v>
      </c>
      <c r="E11" s="8" t="n">
        <v>13</v>
      </c>
    </row>
    <row r="12" customFormat="false" ht="18" hidden="false" customHeight="true" outlineLevel="0" collapsed="false">
      <c r="A12" s="11"/>
      <c r="B12" s="11" t="s">
        <v>73</v>
      </c>
      <c r="C12" s="11" t="s">
        <v>74</v>
      </c>
      <c r="D12" s="11" t="n">
        <v>95</v>
      </c>
      <c r="E12" s="11" t="n">
        <v>4</v>
      </c>
    </row>
    <row r="13" customFormat="false" ht="18" hidden="false" customHeight="true" outlineLevel="0" collapsed="false">
      <c r="A13" s="8"/>
      <c r="B13" s="8" t="s">
        <v>65</v>
      </c>
      <c r="C13" s="8" t="s">
        <v>75</v>
      </c>
      <c r="D13" s="8" t="n">
        <v>70</v>
      </c>
      <c r="E13" s="8" t="n">
        <v>1</v>
      </c>
    </row>
    <row r="14" customFormat="false" ht="18" hidden="false" customHeight="true" outlineLevel="0" collapsed="false">
      <c r="A14" s="13" t="s">
        <v>67</v>
      </c>
      <c r="B14" s="13"/>
      <c r="C14" s="13"/>
      <c r="D14" s="13" t="n">
        <v>380</v>
      </c>
      <c r="E14" s="13" t="n">
        <v>23</v>
      </c>
    </row>
    <row r="15" customFormat="false" ht="18" hidden="false" customHeight="true" outlineLevel="0" collapsed="false">
      <c r="A15" s="8" t="s">
        <v>76</v>
      </c>
      <c r="B15" s="8" t="s">
        <v>77</v>
      </c>
      <c r="C15" s="8" t="s">
        <v>78</v>
      </c>
      <c r="D15" s="8" t="n">
        <v>140</v>
      </c>
      <c r="E15" s="8" t="n">
        <v>18</v>
      </c>
    </row>
    <row r="16" customFormat="false" ht="18" hidden="false" customHeight="true" outlineLevel="0" collapsed="false">
      <c r="A16" s="11"/>
      <c r="B16" s="11" t="s">
        <v>79</v>
      </c>
      <c r="C16" s="11" t="s">
        <v>75</v>
      </c>
      <c r="D16" s="11" t="n">
        <v>75</v>
      </c>
      <c r="E16" s="11" t="n">
        <v>1</v>
      </c>
    </row>
    <row r="17" customFormat="false" ht="18" hidden="false" customHeight="true" outlineLevel="0" collapsed="false">
      <c r="A17" s="8"/>
      <c r="B17" s="8" t="s">
        <v>80</v>
      </c>
      <c r="C17" s="8" t="s">
        <v>81</v>
      </c>
      <c r="D17" s="8" t="n">
        <v>100</v>
      </c>
      <c r="E17" s="8" t="n">
        <v>3</v>
      </c>
    </row>
    <row r="18" customFormat="false" ht="18" hidden="false" customHeight="true" outlineLevel="0" collapsed="false">
      <c r="A18" s="13" t="s">
        <v>82</v>
      </c>
      <c r="B18" s="13"/>
      <c r="C18" s="13"/>
      <c r="D18" s="13" t="n">
        <v>315</v>
      </c>
      <c r="E18" s="13" t="n">
        <v>22</v>
      </c>
    </row>
    <row r="19" customFormat="false" ht="18" hidden="false" customHeight="true" outlineLevel="0" collapsed="false">
      <c r="A19" s="8" t="s">
        <v>83</v>
      </c>
      <c r="B19" s="8" t="s">
        <v>84</v>
      </c>
      <c r="C19" s="8" t="s">
        <v>85</v>
      </c>
      <c r="D19" s="8" t="n">
        <v>140</v>
      </c>
      <c r="E19" s="8" t="n">
        <v>12</v>
      </c>
    </row>
    <row r="20" customFormat="false" ht="18" hidden="false" customHeight="true" outlineLevel="0" collapsed="false">
      <c r="A20" s="11"/>
      <c r="B20" s="11" t="s">
        <v>62</v>
      </c>
      <c r="C20" s="11" t="s">
        <v>61</v>
      </c>
      <c r="D20" s="11" t="n">
        <v>35</v>
      </c>
      <c r="E20" s="11" t="n">
        <v>8</v>
      </c>
    </row>
    <row r="21" customFormat="false" ht="18" hidden="false" customHeight="true" outlineLevel="0" collapsed="false">
      <c r="A21" s="8"/>
      <c r="B21" s="8" t="s">
        <v>86</v>
      </c>
      <c r="C21" s="8" t="s">
        <v>87</v>
      </c>
      <c r="D21" s="8" t="n">
        <v>200</v>
      </c>
      <c r="E21" s="8" t="n">
        <v>5</v>
      </c>
    </row>
    <row r="22" customFormat="false" ht="18" hidden="false" customHeight="true" outlineLevel="0" collapsed="false">
      <c r="A22" s="13" t="s">
        <v>67</v>
      </c>
      <c r="B22" s="13"/>
      <c r="C22" s="13"/>
      <c r="D22" s="13" t="n">
        <v>375</v>
      </c>
      <c r="E22" s="13" t="n">
        <v>25</v>
      </c>
    </row>
    <row r="23" customFormat="false" ht="7.5" hidden="false" customHeight="true" outlineLevel="0" collapsed="false">
      <c r="A23" s="18"/>
      <c r="B23" s="18"/>
      <c r="C23" s="18"/>
      <c r="D23" s="18"/>
      <c r="E23" s="18"/>
    </row>
    <row r="24" customFormat="false" ht="19.5" hidden="false" customHeight="true" outlineLevel="0" collapsed="false"/>
    <row r="25" customFormat="false" ht="18" hidden="false" customHeight="true" outlineLevel="0" collapsed="false">
      <c r="A25" s="19" t="s">
        <v>88</v>
      </c>
    </row>
    <row r="26" customFormat="false" ht="18" hidden="false" customHeight="true" outlineLevel="0" collapsed="false">
      <c r="A26" s="6" t="s">
        <v>55</v>
      </c>
      <c r="B26" s="6" t="s">
        <v>56</v>
      </c>
      <c r="C26" s="6" t="s">
        <v>57</v>
      </c>
      <c r="D26" s="6" t="s">
        <v>58</v>
      </c>
      <c r="E26" s="6" t="s">
        <v>11</v>
      </c>
    </row>
    <row r="27" customFormat="false" ht="18" hidden="false" customHeight="true" outlineLevel="0" collapsed="false">
      <c r="A27" s="8" t="s">
        <v>89</v>
      </c>
      <c r="B27" s="8" t="s">
        <v>90</v>
      </c>
      <c r="C27" s="8" t="s">
        <v>91</v>
      </c>
      <c r="D27" s="8" t="n">
        <v>230</v>
      </c>
      <c r="E27" s="8" t="n">
        <v>33</v>
      </c>
    </row>
    <row r="28" customFormat="false" ht="18" hidden="false" customHeight="true" outlineLevel="0" collapsed="false">
      <c r="A28" s="11"/>
      <c r="B28" s="11" t="s">
        <v>92</v>
      </c>
      <c r="C28" s="11" t="s">
        <v>93</v>
      </c>
      <c r="D28" s="11" t="n">
        <v>200</v>
      </c>
      <c r="E28" s="11" t="n">
        <v>4</v>
      </c>
    </row>
    <row r="29" customFormat="false" ht="18" hidden="false" customHeight="true" outlineLevel="0" collapsed="false">
      <c r="A29" s="8"/>
      <c r="B29" s="8" t="s">
        <v>94</v>
      </c>
      <c r="C29" s="8" t="s">
        <v>95</v>
      </c>
      <c r="D29" s="8" t="n">
        <v>65</v>
      </c>
      <c r="E29" s="8" t="n">
        <v>2</v>
      </c>
    </row>
    <row r="30" customFormat="false" ht="18" hidden="false" customHeight="true" outlineLevel="0" collapsed="false">
      <c r="A30" s="11"/>
      <c r="B30" s="11" t="s">
        <v>96</v>
      </c>
      <c r="C30" s="11" t="s">
        <v>97</v>
      </c>
      <c r="D30" s="11" t="n">
        <v>40</v>
      </c>
      <c r="E30" s="11" t="n">
        <v>0</v>
      </c>
    </row>
    <row r="31" customFormat="false" ht="15" hidden="false" customHeight="false" outlineLevel="0" collapsed="false">
      <c r="A31" s="13" t="s">
        <v>67</v>
      </c>
      <c r="B31" s="13"/>
      <c r="C31" s="13"/>
      <c r="D31" s="13" t="n">
        <v>535</v>
      </c>
      <c r="E31" s="13" t="n">
        <v>39</v>
      </c>
    </row>
    <row r="32" customFormat="false" ht="25.5" hidden="false" customHeight="true" outlineLevel="0" collapsed="false">
      <c r="A32" s="11" t="s">
        <v>98</v>
      </c>
      <c r="B32" s="11" t="s">
        <v>99</v>
      </c>
      <c r="C32" s="11" t="s">
        <v>91</v>
      </c>
      <c r="D32" s="11" t="n">
        <v>285</v>
      </c>
      <c r="E32" s="11" t="n">
        <v>28</v>
      </c>
    </row>
    <row r="33" customFormat="false" ht="19.5" hidden="false" customHeight="true" outlineLevel="0" collapsed="false">
      <c r="A33" s="8"/>
      <c r="B33" s="8" t="s">
        <v>100</v>
      </c>
      <c r="C33" s="8" t="s">
        <v>75</v>
      </c>
      <c r="D33" s="8" t="n">
        <v>200</v>
      </c>
      <c r="E33" s="8" t="n">
        <v>3</v>
      </c>
    </row>
    <row r="34" customFormat="false" ht="18" hidden="false" customHeight="true" outlineLevel="0" collapsed="false">
      <c r="A34" s="11"/>
      <c r="B34" s="11" t="s">
        <v>94</v>
      </c>
      <c r="C34" s="11" t="s">
        <v>95</v>
      </c>
      <c r="D34" s="11" t="n">
        <v>65</v>
      </c>
      <c r="E34" s="11" t="n">
        <v>2</v>
      </c>
    </row>
    <row r="35" customFormat="false" ht="18" hidden="false" customHeight="true" outlineLevel="0" collapsed="false">
      <c r="A35" s="13" t="s">
        <v>67</v>
      </c>
      <c r="B35" s="13"/>
      <c r="C35" s="13"/>
      <c r="D35" s="13" t="n">
        <v>550</v>
      </c>
      <c r="E35" s="13" t="n">
        <v>33</v>
      </c>
    </row>
    <row r="36" customFormat="false" ht="18" hidden="false" customHeight="true" outlineLevel="0" collapsed="false">
      <c r="A36" s="11" t="s">
        <v>101</v>
      </c>
      <c r="B36" s="11" t="s">
        <v>102</v>
      </c>
      <c r="C36" s="11" t="s">
        <v>103</v>
      </c>
      <c r="D36" s="11" t="n">
        <v>240</v>
      </c>
      <c r="E36" s="11" t="n">
        <v>24</v>
      </c>
    </row>
    <row r="37" customFormat="false" ht="18" hidden="false" customHeight="true" outlineLevel="0" collapsed="false">
      <c r="A37" s="8"/>
      <c r="B37" s="8" t="s">
        <v>104</v>
      </c>
      <c r="C37" s="8" t="s">
        <v>75</v>
      </c>
      <c r="D37" s="8" t="n">
        <v>220</v>
      </c>
      <c r="E37" s="8" t="n">
        <v>5</v>
      </c>
    </row>
    <row r="38" customFormat="false" ht="18" hidden="false" customHeight="true" outlineLevel="0" collapsed="false">
      <c r="A38" s="11"/>
      <c r="B38" s="11" t="s">
        <v>94</v>
      </c>
      <c r="C38" s="11" t="s">
        <v>93</v>
      </c>
      <c r="D38" s="11" t="n">
        <v>65</v>
      </c>
      <c r="E38" s="11" t="n">
        <v>2</v>
      </c>
    </row>
    <row r="39" customFormat="false" ht="18" hidden="false" customHeight="true" outlineLevel="0" collapsed="false">
      <c r="A39" s="13" t="s">
        <v>67</v>
      </c>
      <c r="B39" s="13"/>
      <c r="C39" s="13"/>
      <c r="D39" s="13" t="n">
        <v>525</v>
      </c>
      <c r="E39" s="13" t="n">
        <v>31</v>
      </c>
    </row>
    <row r="40" customFormat="false" ht="18" hidden="false" customHeight="true" outlineLevel="0" collapsed="false">
      <c r="A40" s="11" t="s">
        <v>105</v>
      </c>
      <c r="B40" s="11" t="s">
        <v>106</v>
      </c>
      <c r="C40" s="11" t="s">
        <v>107</v>
      </c>
      <c r="D40" s="11" t="n">
        <v>340</v>
      </c>
      <c r="E40" s="11" t="n">
        <v>23</v>
      </c>
    </row>
    <row r="41" customFormat="false" ht="18" hidden="false" customHeight="true" outlineLevel="0" collapsed="false">
      <c r="A41" s="8"/>
      <c r="B41" s="8" t="s">
        <v>108</v>
      </c>
      <c r="C41" s="8" t="s">
        <v>75</v>
      </c>
      <c r="D41" s="8" t="n">
        <v>220</v>
      </c>
      <c r="E41" s="8" t="n">
        <v>5</v>
      </c>
    </row>
    <row r="42" customFormat="false" ht="18" hidden="false" customHeight="true" outlineLevel="0" collapsed="false">
      <c r="A42" s="11"/>
      <c r="B42" s="11" t="s">
        <v>94</v>
      </c>
      <c r="C42" s="11" t="s">
        <v>93</v>
      </c>
      <c r="D42" s="11" t="n">
        <v>65</v>
      </c>
      <c r="E42" s="11" t="n">
        <v>2</v>
      </c>
    </row>
    <row r="43" customFormat="false" ht="18" hidden="false" customHeight="true" outlineLevel="0" collapsed="false">
      <c r="A43" s="13" t="s">
        <v>67</v>
      </c>
      <c r="B43" s="13"/>
      <c r="C43" s="13"/>
      <c r="D43" s="13" t="n">
        <v>625</v>
      </c>
      <c r="E43" s="13" t="n">
        <v>30</v>
      </c>
    </row>
    <row r="44" customFormat="false" ht="18" hidden="false" customHeight="true" outlineLevel="0" collapsed="false"/>
    <row r="45" customFormat="false" ht="18" hidden="false" customHeight="true" outlineLevel="0" collapsed="false">
      <c r="A45" s="20" t="s">
        <v>109</v>
      </c>
    </row>
    <row r="46" customFormat="false" ht="18" hidden="false" customHeight="true" outlineLevel="0" collapsed="false">
      <c r="A46" s="6" t="s">
        <v>55</v>
      </c>
      <c r="B46" s="6" t="s">
        <v>56</v>
      </c>
      <c r="C46" s="6" t="s">
        <v>57</v>
      </c>
      <c r="D46" s="6" t="s">
        <v>58</v>
      </c>
      <c r="E46" s="6" t="s">
        <v>11</v>
      </c>
    </row>
    <row r="47" customFormat="false" ht="15" hidden="false" customHeight="false" outlineLevel="0" collapsed="false">
      <c r="A47" s="8" t="s">
        <v>110</v>
      </c>
      <c r="B47" s="8" t="s">
        <v>111</v>
      </c>
      <c r="C47" s="8" t="s">
        <v>78</v>
      </c>
      <c r="D47" s="8" t="n">
        <v>140</v>
      </c>
      <c r="E47" s="8" t="n">
        <v>18</v>
      </c>
    </row>
    <row r="48" customFormat="false" ht="25.5" hidden="false" customHeight="true" outlineLevel="0" collapsed="false">
      <c r="A48" s="11"/>
      <c r="B48" s="11" t="s">
        <v>65</v>
      </c>
      <c r="C48" s="11" t="s">
        <v>75</v>
      </c>
      <c r="D48" s="11" t="n">
        <v>80</v>
      </c>
      <c r="E48" s="11" t="n">
        <v>1</v>
      </c>
    </row>
    <row r="49" customFormat="false" ht="19.5" hidden="false" customHeight="true" outlineLevel="0" collapsed="false">
      <c r="A49" s="8"/>
      <c r="B49" s="8" t="s">
        <v>73</v>
      </c>
      <c r="C49" s="8" t="s">
        <v>74</v>
      </c>
      <c r="D49" s="8" t="n">
        <v>95</v>
      </c>
      <c r="E49" s="8" t="n">
        <v>4</v>
      </c>
    </row>
    <row r="50" customFormat="false" ht="18" hidden="false" customHeight="true" outlineLevel="0" collapsed="false">
      <c r="A50" s="13" t="s">
        <v>67</v>
      </c>
      <c r="B50" s="13"/>
      <c r="C50" s="13"/>
      <c r="D50" s="13" t="n">
        <v>315</v>
      </c>
      <c r="E50" s="13" t="n">
        <v>23</v>
      </c>
    </row>
    <row r="51" customFormat="false" ht="18" hidden="false" customHeight="true" outlineLevel="0" collapsed="false">
      <c r="A51" s="8" t="s">
        <v>112</v>
      </c>
      <c r="B51" s="8" t="s">
        <v>113</v>
      </c>
      <c r="C51" s="8" t="s">
        <v>114</v>
      </c>
      <c r="D51" s="8" t="n">
        <v>200</v>
      </c>
      <c r="E51" s="8" t="n">
        <v>18</v>
      </c>
    </row>
    <row r="52" customFormat="false" ht="18" hidden="false" customHeight="true" outlineLevel="0" collapsed="false">
      <c r="A52" s="13" t="s">
        <v>67</v>
      </c>
      <c r="B52" s="13"/>
      <c r="C52" s="13"/>
      <c r="D52" s="13" t="n">
        <v>200</v>
      </c>
      <c r="E52" s="13" t="n">
        <v>18</v>
      </c>
    </row>
    <row r="53" customFormat="false" ht="18" hidden="false" customHeight="true" outlineLevel="0" collapsed="false"/>
    <row r="54" customFormat="false" ht="32.8" hidden="false" customHeight="false" outlineLevel="0" collapsed="false">
      <c r="A54" s="21" t="s">
        <v>115</v>
      </c>
    </row>
    <row r="55" customFormat="false" ht="15" hidden="false" customHeight="false" outlineLevel="0" collapsed="false">
      <c r="A55" s="6" t="s">
        <v>55</v>
      </c>
      <c r="B55" s="6" t="s">
        <v>56</v>
      </c>
      <c r="C55" s="6" t="s">
        <v>57</v>
      </c>
      <c r="D55" s="6" t="s">
        <v>58</v>
      </c>
      <c r="E55" s="6" t="s">
        <v>11</v>
      </c>
    </row>
    <row r="56" customFormat="false" ht="15" hidden="false" customHeight="false" outlineLevel="0" collapsed="false">
      <c r="A56" s="11" t="s">
        <v>116</v>
      </c>
      <c r="B56" s="11" t="s">
        <v>90</v>
      </c>
      <c r="C56" s="11" t="s">
        <v>91</v>
      </c>
      <c r="D56" s="11" t="n">
        <v>230</v>
      </c>
      <c r="E56" s="11" t="n">
        <v>33</v>
      </c>
    </row>
    <row r="57" customFormat="false" ht="15" hidden="false" customHeight="false" outlineLevel="0" collapsed="false">
      <c r="A57" s="8"/>
      <c r="B57" s="8" t="s">
        <v>100</v>
      </c>
      <c r="C57" s="8" t="s">
        <v>117</v>
      </c>
      <c r="D57" s="8" t="n">
        <v>140</v>
      </c>
      <c r="E57" s="8" t="n">
        <v>3</v>
      </c>
    </row>
    <row r="58" customFormat="false" ht="15" hidden="false" customHeight="false" outlineLevel="0" collapsed="false">
      <c r="A58" s="11"/>
      <c r="B58" s="11" t="s">
        <v>94</v>
      </c>
      <c r="C58" s="11" t="s">
        <v>95</v>
      </c>
      <c r="D58" s="11" t="n">
        <v>65</v>
      </c>
      <c r="E58" s="11" t="n">
        <v>2</v>
      </c>
    </row>
    <row r="59" customFormat="false" ht="15" hidden="false" customHeight="false" outlineLevel="0" collapsed="false">
      <c r="A59" s="13" t="s">
        <v>67</v>
      </c>
      <c r="B59" s="13"/>
      <c r="C59" s="13"/>
      <c r="D59" s="13" t="n">
        <v>435</v>
      </c>
      <c r="E59" s="13" t="n">
        <v>38</v>
      </c>
    </row>
    <row r="60" customFormat="false" ht="15" hidden="false" customHeight="false" outlineLevel="0" collapsed="false">
      <c r="A60" s="11" t="s">
        <v>118</v>
      </c>
      <c r="B60" s="11" t="s">
        <v>60</v>
      </c>
      <c r="C60" s="11" t="s">
        <v>61</v>
      </c>
      <c r="D60" s="11" t="n">
        <v>140</v>
      </c>
      <c r="E60" s="11" t="n">
        <v>12</v>
      </c>
    </row>
    <row r="61" customFormat="false" ht="15" hidden="false" customHeight="false" outlineLevel="0" collapsed="false">
      <c r="A61" s="8"/>
      <c r="B61" s="8" t="s">
        <v>62</v>
      </c>
      <c r="C61" s="8" t="s">
        <v>119</v>
      </c>
      <c r="D61" s="8" t="n">
        <v>45</v>
      </c>
      <c r="E61" s="8" t="n">
        <v>10</v>
      </c>
    </row>
    <row r="62" customFormat="false" ht="15" hidden="false" customHeight="false" outlineLevel="0" collapsed="false">
      <c r="A62" s="11"/>
      <c r="B62" s="11" t="s">
        <v>120</v>
      </c>
      <c r="C62" s="11" t="s">
        <v>75</v>
      </c>
      <c r="D62" s="11" t="n">
        <v>185</v>
      </c>
      <c r="E62" s="11" t="n">
        <v>4</v>
      </c>
    </row>
    <row r="63" customFormat="false" ht="15" hidden="false" customHeight="false" outlineLevel="0" collapsed="false">
      <c r="A63" s="8"/>
      <c r="B63" s="8" t="s">
        <v>94</v>
      </c>
      <c r="C63" s="8" t="s">
        <v>93</v>
      </c>
      <c r="D63" s="8" t="n">
        <v>65</v>
      </c>
      <c r="E63" s="8" t="n">
        <v>2</v>
      </c>
    </row>
    <row r="64" customFormat="false" ht="15" hidden="false" customHeight="false" outlineLevel="0" collapsed="false">
      <c r="A64" s="13" t="s">
        <v>67</v>
      </c>
      <c r="B64" s="13"/>
      <c r="C64" s="13"/>
      <c r="D64" s="13" t="n">
        <v>435</v>
      </c>
      <c r="E64" s="13" t="n">
        <v>28</v>
      </c>
    </row>
    <row r="65" customFormat="false" ht="15" hidden="false" customHeight="false" outlineLevel="0" collapsed="false">
      <c r="A65" s="8" t="s">
        <v>121</v>
      </c>
      <c r="B65" s="8" t="s">
        <v>99</v>
      </c>
      <c r="C65" s="8" t="s">
        <v>91</v>
      </c>
      <c r="D65" s="8" t="n">
        <v>285</v>
      </c>
      <c r="E65" s="8" t="n">
        <v>28</v>
      </c>
    </row>
    <row r="66" customFormat="false" ht="15" hidden="false" customHeight="false" outlineLevel="0" collapsed="false">
      <c r="A66" s="11"/>
      <c r="B66" s="11" t="s">
        <v>94</v>
      </c>
      <c r="C66" s="11" t="s">
        <v>95</v>
      </c>
      <c r="D66" s="11" t="n">
        <v>65</v>
      </c>
      <c r="E66" s="11" t="n">
        <v>2</v>
      </c>
    </row>
    <row r="67" customFormat="false" ht="15" hidden="false" customHeight="false" outlineLevel="0" collapsed="false">
      <c r="A67" s="8"/>
      <c r="B67" s="8" t="s">
        <v>122</v>
      </c>
      <c r="C67" s="8" t="s">
        <v>117</v>
      </c>
      <c r="D67" s="8" t="n">
        <v>100</v>
      </c>
      <c r="E67" s="8" t="n">
        <v>2</v>
      </c>
    </row>
    <row r="68" customFormat="false" ht="15" hidden="false" customHeight="false" outlineLevel="0" collapsed="false">
      <c r="A68" s="13" t="s">
        <v>67</v>
      </c>
      <c r="B68" s="13"/>
      <c r="C68" s="13"/>
      <c r="D68" s="13" t="n">
        <v>450</v>
      </c>
      <c r="E68" s="13" t="n">
        <v>32</v>
      </c>
    </row>
    <row r="70" customFormat="false" ht="64.15" hidden="false" customHeight="false" outlineLevel="0" collapsed="false">
      <c r="A70" s="22" t="s">
        <v>123</v>
      </c>
    </row>
    <row r="71" customFormat="false" ht="15" hidden="false" customHeight="false" outlineLevel="0" collapsed="false">
      <c r="A71" s="6" t="s">
        <v>124</v>
      </c>
      <c r="B71" s="6" t="s">
        <v>125</v>
      </c>
      <c r="C71" s="6" t="s">
        <v>57</v>
      </c>
      <c r="D71" s="6" t="s">
        <v>58</v>
      </c>
      <c r="E71" s="6" t="s">
        <v>11</v>
      </c>
    </row>
    <row r="72" customFormat="false" ht="15" hidden="false" customHeight="false" outlineLevel="0" collapsed="false">
      <c r="A72" s="11" t="s">
        <v>126</v>
      </c>
      <c r="B72" s="11" t="s">
        <v>127</v>
      </c>
      <c r="C72" s="11" t="s">
        <v>93</v>
      </c>
      <c r="D72" s="11" t="n">
        <v>5</v>
      </c>
      <c r="E72" s="11" t="n">
        <v>0</v>
      </c>
    </row>
    <row r="73" customFormat="false" ht="23.85" hidden="false" customHeight="false" outlineLevel="0" collapsed="false">
      <c r="A73" s="8" t="s">
        <v>126</v>
      </c>
      <c r="B73" s="8" t="s">
        <v>128</v>
      </c>
      <c r="C73" s="8" t="s">
        <v>129</v>
      </c>
      <c r="D73" s="8" t="n">
        <v>55</v>
      </c>
      <c r="E73" s="8" t="n">
        <v>0</v>
      </c>
    </row>
    <row r="74" customFormat="false" ht="15" hidden="false" customHeight="false" outlineLevel="0" collapsed="false">
      <c r="A74" s="11" t="s">
        <v>130</v>
      </c>
      <c r="B74" s="11" t="s">
        <v>131</v>
      </c>
      <c r="C74" s="11" t="s">
        <v>132</v>
      </c>
      <c r="D74" s="11" t="n">
        <v>130</v>
      </c>
      <c r="E74" s="11" t="n">
        <v>28</v>
      </c>
    </row>
    <row r="75" customFormat="false" ht="15" hidden="false" customHeight="false" outlineLevel="0" collapsed="false">
      <c r="A75" s="8" t="s">
        <v>130</v>
      </c>
      <c r="B75" s="8" t="s">
        <v>133</v>
      </c>
      <c r="C75" s="8" t="s">
        <v>134</v>
      </c>
      <c r="D75" s="8" t="n">
        <v>250</v>
      </c>
      <c r="E75" s="8" t="n">
        <v>36</v>
      </c>
    </row>
  </sheetData>
  <mergeCells count="5">
    <mergeCell ref="A1:F1"/>
    <mergeCell ref="A3:E3"/>
    <mergeCell ref="A23:E23"/>
    <mergeCell ref="A32:E32"/>
    <mergeCell ref="A48: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6"/>
    <col collapsed="false" customWidth="true" hidden="false" outlineLevel="0" max="3" min="3" style="1" width="18"/>
    <col collapsed="false" customWidth="true" hidden="false" outlineLevel="0" max="4" min="4" style="1" width="8"/>
  </cols>
  <sheetData>
    <row r="1" customFormat="false" ht="45" hidden="false" customHeight="true" outlineLevel="0" collapsed="false">
      <c r="A1" s="16" t="s">
        <v>135</v>
      </c>
      <c r="B1" s="16"/>
      <c r="C1" s="16"/>
      <c r="D1" s="16"/>
    </row>
    <row r="2" customFormat="false" ht="21.75" hidden="false" customHeight="true" outlineLevel="0" collapsed="false">
      <c r="A2" s="23" t="s">
        <v>136</v>
      </c>
      <c r="B2" s="23"/>
      <c r="C2" s="23"/>
      <c r="D2" s="23"/>
    </row>
    <row r="4" customFormat="false" ht="25.5" hidden="false" customHeight="true" outlineLevel="0" collapsed="false">
      <c r="A4" s="24" t="s">
        <v>137</v>
      </c>
      <c r="B4" s="24"/>
      <c r="C4" s="24"/>
      <c r="D4" s="24"/>
    </row>
    <row r="5" customFormat="false" ht="19.5" hidden="false" customHeight="true" outlineLevel="0" collapsed="false">
      <c r="A5" s="6" t="s">
        <v>138</v>
      </c>
      <c r="B5" s="6" t="s">
        <v>139</v>
      </c>
      <c r="C5" s="6" t="s">
        <v>140</v>
      </c>
      <c r="D5" s="6" t="s">
        <v>141</v>
      </c>
    </row>
    <row r="6" customFormat="false" ht="21.75" hidden="false" customHeight="true" outlineLevel="0" collapsed="false">
      <c r="A6" s="11" t="s">
        <v>142</v>
      </c>
      <c r="B6" s="10" t="s">
        <v>143</v>
      </c>
      <c r="C6" s="10" t="s">
        <v>144</v>
      </c>
      <c r="D6" s="11" t="s">
        <v>145</v>
      </c>
    </row>
    <row r="7" customFormat="false" ht="21.75" hidden="false" customHeight="true" outlineLevel="0" collapsed="false">
      <c r="A7" s="8" t="s">
        <v>146</v>
      </c>
      <c r="B7" s="7" t="s">
        <v>147</v>
      </c>
      <c r="C7" s="7" t="s">
        <v>148</v>
      </c>
      <c r="D7" s="8" t="s">
        <v>149</v>
      </c>
    </row>
    <row r="8" customFormat="false" ht="21.75" hidden="false" customHeight="true" outlineLevel="0" collapsed="false">
      <c r="A8" s="11" t="s">
        <v>150</v>
      </c>
      <c r="B8" s="10" t="s">
        <v>151</v>
      </c>
      <c r="C8" s="10" t="s">
        <v>152</v>
      </c>
      <c r="D8" s="11" t="s">
        <v>153</v>
      </c>
    </row>
    <row r="9" customFormat="false" ht="21.75" hidden="false" customHeight="true" outlineLevel="0" collapsed="false">
      <c r="A9" s="8" t="s">
        <v>154</v>
      </c>
      <c r="B9" s="7" t="s">
        <v>155</v>
      </c>
      <c r="C9" s="7" t="s">
        <v>156</v>
      </c>
      <c r="D9" s="8" t="s">
        <v>157</v>
      </c>
    </row>
    <row r="10" customFormat="false" ht="21.75" hidden="false" customHeight="true" outlineLevel="0" collapsed="false">
      <c r="A10" s="11" t="s">
        <v>158</v>
      </c>
      <c r="B10" s="10" t="s">
        <v>159</v>
      </c>
      <c r="C10" s="10" t="s">
        <v>160</v>
      </c>
      <c r="D10" s="11" t="s">
        <v>161</v>
      </c>
    </row>
    <row r="11" customFormat="false" ht="21.75" hidden="false" customHeight="true" outlineLevel="0" collapsed="false">
      <c r="A11" s="8" t="s">
        <v>162</v>
      </c>
      <c r="B11" s="7" t="s">
        <v>163</v>
      </c>
      <c r="C11" s="7" t="s">
        <v>164</v>
      </c>
      <c r="D11" s="8" t="s">
        <v>165</v>
      </c>
    </row>
    <row r="12" customFormat="false" ht="21.75" hidden="false" customHeight="true" outlineLevel="0" collapsed="false">
      <c r="A12" s="11" t="s">
        <v>166</v>
      </c>
      <c r="B12" s="10" t="s">
        <v>167</v>
      </c>
      <c r="C12" s="10" t="s">
        <v>168</v>
      </c>
      <c r="D12" s="11" t="s">
        <v>169</v>
      </c>
    </row>
    <row r="14" customFormat="false" ht="25.5" hidden="false" customHeight="true" outlineLevel="0" collapsed="false">
      <c r="A14" s="25" t="s">
        <v>170</v>
      </c>
      <c r="B14" s="25"/>
      <c r="C14" s="25"/>
      <c r="D14" s="25"/>
    </row>
    <row r="15" customFormat="false" ht="19.5" hidden="false" customHeight="true" outlineLevel="0" collapsed="false">
      <c r="A15" s="6" t="s">
        <v>171</v>
      </c>
      <c r="B15" s="6" t="s">
        <v>172</v>
      </c>
      <c r="C15" s="6" t="s">
        <v>173</v>
      </c>
      <c r="D15" s="6" t="s">
        <v>141</v>
      </c>
    </row>
    <row r="16" customFormat="false" ht="21.75" hidden="false" customHeight="true" outlineLevel="0" collapsed="false">
      <c r="A16" s="26" t="s">
        <v>174</v>
      </c>
      <c r="B16" s="27" t="s">
        <v>175</v>
      </c>
      <c r="C16" s="26" t="s">
        <v>176</v>
      </c>
      <c r="D16" s="26" t="s">
        <v>177</v>
      </c>
    </row>
    <row r="17" customFormat="false" ht="21.75" hidden="false" customHeight="true" outlineLevel="0" collapsed="false">
      <c r="A17" s="8" t="s">
        <v>178</v>
      </c>
      <c r="B17" s="7" t="s">
        <v>179</v>
      </c>
      <c r="C17" s="8" t="s">
        <v>176</v>
      </c>
      <c r="D17" s="8" t="s">
        <v>180</v>
      </c>
    </row>
    <row r="18" customFormat="false" ht="21.75" hidden="false" customHeight="true" outlineLevel="0" collapsed="false">
      <c r="A18" s="26" t="s">
        <v>181</v>
      </c>
      <c r="B18" s="27" t="s">
        <v>182</v>
      </c>
      <c r="C18" s="26" t="s">
        <v>183</v>
      </c>
      <c r="D18" s="26" t="s">
        <v>184</v>
      </c>
    </row>
    <row r="19" customFormat="false" ht="21.75" hidden="false" customHeight="true" outlineLevel="0" collapsed="false">
      <c r="A19" s="8" t="s">
        <v>185</v>
      </c>
      <c r="B19" s="7" t="s">
        <v>186</v>
      </c>
      <c r="C19" s="8" t="s">
        <v>187</v>
      </c>
      <c r="D19" s="8" t="s">
        <v>188</v>
      </c>
    </row>
    <row r="20" customFormat="false" ht="21.75" hidden="false" customHeight="true" outlineLevel="0" collapsed="false">
      <c r="A20" s="26" t="s">
        <v>189</v>
      </c>
      <c r="B20" s="27" t="s">
        <v>190</v>
      </c>
      <c r="C20" s="26" t="s">
        <v>176</v>
      </c>
      <c r="D20" s="26" t="s">
        <v>191</v>
      </c>
    </row>
    <row r="21" customFormat="false" ht="21.75" hidden="false" customHeight="true" outlineLevel="0" collapsed="false">
      <c r="A21" s="8" t="s">
        <v>192</v>
      </c>
      <c r="B21" s="7" t="s">
        <v>193</v>
      </c>
      <c r="C21" s="8" t="s">
        <v>187</v>
      </c>
      <c r="D21" s="8" t="s">
        <v>194</v>
      </c>
    </row>
    <row r="22" customFormat="false" ht="21.75" hidden="false" customHeight="true" outlineLevel="0" collapsed="false">
      <c r="A22" s="26" t="s">
        <v>195</v>
      </c>
      <c r="B22" s="27" t="s">
        <v>196</v>
      </c>
      <c r="C22" s="26" t="s">
        <v>176</v>
      </c>
      <c r="D22" s="26" t="s">
        <v>197</v>
      </c>
    </row>
    <row r="23" customFormat="false" ht="21.75" hidden="false" customHeight="true" outlineLevel="0" collapsed="false">
      <c r="A23" s="8" t="s">
        <v>198</v>
      </c>
      <c r="B23" s="7" t="s">
        <v>199</v>
      </c>
      <c r="C23" s="8" t="s">
        <v>200</v>
      </c>
      <c r="D23" s="8" t="s">
        <v>201</v>
      </c>
    </row>
  </sheetData>
  <mergeCells count="4">
    <mergeCell ref="A1:D1"/>
    <mergeCell ref="A2:D2"/>
    <mergeCell ref="A4:D4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5"/>
  </cols>
  <sheetData>
    <row r="1" customFormat="false" ht="45" hidden="false" customHeight="true" outlineLevel="0" collapsed="false">
      <c r="A1" s="16" t="s">
        <v>202</v>
      </c>
      <c r="B1" s="16"/>
      <c r="C1" s="16"/>
      <c r="D1" s="16"/>
      <c r="E1" s="16"/>
      <c r="F1" s="16"/>
      <c r="G1" s="16"/>
      <c r="H1" s="16"/>
    </row>
    <row r="2" customFormat="false" ht="25.5" hidden="false" customHeight="true" outlineLevel="0" collapsed="false">
      <c r="A2" s="28"/>
      <c r="B2" s="29" t="s">
        <v>203</v>
      </c>
      <c r="C2" s="30" t="s">
        <v>204</v>
      </c>
      <c r="D2" s="31" t="s">
        <v>205</v>
      </c>
      <c r="E2" s="32" t="s">
        <v>206</v>
      </c>
      <c r="F2" s="33" t="s">
        <v>207</v>
      </c>
      <c r="G2" s="34" t="s">
        <v>208</v>
      </c>
      <c r="H2" s="35" t="s">
        <v>209</v>
      </c>
    </row>
    <row r="3" customFormat="false" ht="21.75" hidden="false" customHeight="true" outlineLevel="0" collapsed="false">
      <c r="A3" s="36" t="s">
        <v>14</v>
      </c>
      <c r="B3" s="37" t="s">
        <v>210</v>
      </c>
      <c r="C3" s="37" t="s">
        <v>98</v>
      </c>
      <c r="D3" s="37" t="s">
        <v>210</v>
      </c>
      <c r="E3" s="37" t="s">
        <v>101</v>
      </c>
      <c r="F3" s="37" t="s">
        <v>98</v>
      </c>
      <c r="G3" s="37" t="s">
        <v>210</v>
      </c>
      <c r="H3" s="37" t="s">
        <v>105</v>
      </c>
    </row>
    <row r="4" customFormat="false" ht="21.75" hidden="false" customHeight="true" outlineLevel="0" collapsed="false">
      <c r="A4" s="13" t="s">
        <v>17</v>
      </c>
      <c r="B4" s="38" t="s">
        <v>211</v>
      </c>
      <c r="C4" s="38" t="s">
        <v>112</v>
      </c>
      <c r="D4" s="38" t="s">
        <v>211</v>
      </c>
      <c r="E4" s="38" t="s">
        <v>112</v>
      </c>
      <c r="F4" s="38" t="s">
        <v>211</v>
      </c>
      <c r="G4" s="38" t="s">
        <v>212</v>
      </c>
      <c r="H4" s="38" t="s">
        <v>211</v>
      </c>
    </row>
    <row r="5" customFormat="false" ht="21.75" hidden="false" customHeight="true" outlineLevel="0" collapsed="false">
      <c r="A5" s="39" t="s">
        <v>213</v>
      </c>
      <c r="B5" s="37" t="s">
        <v>214</v>
      </c>
      <c r="C5" s="37" t="s">
        <v>215</v>
      </c>
      <c r="D5" s="37" t="s">
        <v>216</v>
      </c>
      <c r="E5" s="37" t="s">
        <v>214</v>
      </c>
      <c r="F5" s="37" t="s">
        <v>215</v>
      </c>
      <c r="G5" s="37" t="s">
        <v>216</v>
      </c>
      <c r="H5" s="37" t="s">
        <v>216</v>
      </c>
    </row>
    <row r="6" customFormat="false" ht="21.75" hidden="false" customHeight="true" outlineLevel="0" collapsed="false">
      <c r="A6" s="40" t="s">
        <v>217</v>
      </c>
      <c r="B6" s="38" t="s">
        <v>218</v>
      </c>
      <c r="C6" s="38" t="s">
        <v>219</v>
      </c>
      <c r="D6" s="38" t="s">
        <v>216</v>
      </c>
      <c r="E6" s="38" t="s">
        <v>218</v>
      </c>
      <c r="F6" s="38" t="s">
        <v>219</v>
      </c>
      <c r="G6" s="38" t="s">
        <v>216</v>
      </c>
      <c r="H6" s="38" t="s">
        <v>216</v>
      </c>
    </row>
    <row r="7" customFormat="false" ht="21.75" hidden="false" customHeight="true" outlineLevel="0" collapsed="false">
      <c r="A7" s="41" t="s">
        <v>23</v>
      </c>
      <c r="B7" s="37" t="s">
        <v>220</v>
      </c>
      <c r="C7" s="37" t="s">
        <v>99</v>
      </c>
      <c r="D7" s="37" t="s">
        <v>118</v>
      </c>
      <c r="E7" s="37" t="s">
        <v>220</v>
      </c>
      <c r="F7" s="37" t="s">
        <v>99</v>
      </c>
      <c r="G7" s="37" t="s">
        <v>220</v>
      </c>
      <c r="H7" s="37" t="s">
        <v>118</v>
      </c>
    </row>
    <row r="8" customFormat="false" ht="21.75" hidden="false" customHeight="true" outlineLevel="0" collapsed="false">
      <c r="A8" s="13" t="s">
        <v>221</v>
      </c>
      <c r="B8" s="38" t="s">
        <v>222</v>
      </c>
      <c r="C8" s="38" t="s">
        <v>223</v>
      </c>
      <c r="D8" s="38" t="s">
        <v>224</v>
      </c>
      <c r="E8" s="38" t="s">
        <v>222</v>
      </c>
      <c r="F8" s="38" t="s">
        <v>223</v>
      </c>
      <c r="G8" s="38" t="s">
        <v>225</v>
      </c>
      <c r="H8" s="38" t="s">
        <v>226</v>
      </c>
    </row>
    <row r="9" customFormat="false" ht="21.75" hidden="false" customHeight="true" outlineLevel="0" collapsed="false">
      <c r="A9" s="42" t="s">
        <v>227</v>
      </c>
      <c r="B9" s="37" t="s">
        <v>228</v>
      </c>
      <c r="C9" s="37" t="s">
        <v>229</v>
      </c>
      <c r="D9" s="37" t="s">
        <v>230</v>
      </c>
      <c r="E9" s="37" t="s">
        <v>231</v>
      </c>
      <c r="F9" s="37" t="s">
        <v>232</v>
      </c>
      <c r="G9" s="37" t="s">
        <v>233</v>
      </c>
      <c r="H9" s="37" t="s">
        <v>234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20"/>
  </cols>
  <sheetData>
    <row r="1" customFormat="false" ht="45" hidden="false" customHeight="true" outlineLevel="0" collapsed="false">
      <c r="A1" s="16" t="s">
        <v>235</v>
      </c>
      <c r="B1" s="16"/>
      <c r="C1" s="16"/>
      <c r="D1" s="16"/>
      <c r="E1" s="16"/>
    </row>
    <row r="2" customFormat="false" ht="21.75" hidden="false" customHeight="true" outlineLevel="0" collapsed="false">
      <c r="A2" s="23" t="s">
        <v>236</v>
      </c>
      <c r="B2" s="23"/>
      <c r="C2" s="23"/>
      <c r="D2" s="23"/>
      <c r="E2" s="23"/>
    </row>
    <row r="4" customFormat="false" ht="24" hidden="false" customHeight="true" outlineLevel="0" collapsed="false">
      <c r="A4" s="14" t="s">
        <v>237</v>
      </c>
      <c r="B4" s="14"/>
      <c r="C4" s="14"/>
      <c r="D4" s="14"/>
      <c r="E4" s="14"/>
    </row>
    <row r="5" customFormat="false" ht="19.5" hidden="false" customHeight="true" outlineLevel="0" collapsed="false">
      <c r="A5" s="6" t="s">
        <v>9</v>
      </c>
      <c r="B5" s="6" t="s">
        <v>8</v>
      </c>
      <c r="C5" s="6" t="s">
        <v>238</v>
      </c>
      <c r="D5" s="6" t="s">
        <v>239</v>
      </c>
      <c r="E5" s="6" t="s">
        <v>240</v>
      </c>
    </row>
    <row r="6" customFormat="false" ht="21.75" hidden="false" customHeight="true" outlineLevel="0" collapsed="false">
      <c r="A6" s="11" t="s">
        <v>241</v>
      </c>
      <c r="B6" s="11" t="s">
        <v>12</v>
      </c>
      <c r="C6" s="11" t="s">
        <v>242</v>
      </c>
      <c r="D6" s="10" t="s">
        <v>243</v>
      </c>
      <c r="E6" s="11" t="s">
        <v>244</v>
      </c>
    </row>
    <row r="7" customFormat="false" ht="21.75" hidden="false" customHeight="true" outlineLevel="0" collapsed="false">
      <c r="A7" s="8" t="s">
        <v>245</v>
      </c>
      <c r="B7" s="8" t="s">
        <v>246</v>
      </c>
      <c r="C7" s="8" t="s">
        <v>247</v>
      </c>
      <c r="D7" s="7" t="s">
        <v>248</v>
      </c>
      <c r="E7" s="8" t="s">
        <v>249</v>
      </c>
    </row>
    <row r="8" customFormat="false" ht="21.75" hidden="false" customHeight="true" outlineLevel="0" collapsed="false">
      <c r="A8" s="11" t="s">
        <v>250</v>
      </c>
      <c r="B8" s="11" t="s">
        <v>251</v>
      </c>
      <c r="C8" s="11" t="s">
        <v>252</v>
      </c>
      <c r="D8" s="10" t="s">
        <v>253</v>
      </c>
      <c r="E8" s="11" t="s">
        <v>254</v>
      </c>
    </row>
    <row r="9" customFormat="false" ht="21.75" hidden="false" customHeight="true" outlineLevel="0" collapsed="false">
      <c r="A9" s="8" t="s">
        <v>255</v>
      </c>
      <c r="B9" s="8" t="s">
        <v>256</v>
      </c>
      <c r="C9" s="8" t="s">
        <v>242</v>
      </c>
      <c r="D9" s="7" t="s">
        <v>257</v>
      </c>
      <c r="E9" s="8" t="s">
        <v>258</v>
      </c>
    </row>
    <row r="10" customFormat="false" ht="21.75" hidden="false" customHeight="true" outlineLevel="0" collapsed="false">
      <c r="A10" s="11" t="s">
        <v>259</v>
      </c>
      <c r="B10" s="11" t="s">
        <v>24</v>
      </c>
      <c r="C10" s="11" t="s">
        <v>247</v>
      </c>
      <c r="D10" s="10" t="s">
        <v>260</v>
      </c>
      <c r="E10" s="11" t="s">
        <v>261</v>
      </c>
    </row>
    <row r="11" customFormat="false" ht="21.75" hidden="false" customHeight="true" outlineLevel="0" collapsed="false">
      <c r="A11" s="8" t="s">
        <v>262</v>
      </c>
      <c r="B11" s="8" t="s">
        <v>27</v>
      </c>
      <c r="C11" s="8" t="s">
        <v>263</v>
      </c>
      <c r="D11" s="7" t="s">
        <v>264</v>
      </c>
      <c r="E11" s="8" t="s">
        <v>265</v>
      </c>
    </row>
    <row r="12" customFormat="false" ht="21.75" hidden="false" customHeight="true" outlineLevel="0" collapsed="false">
      <c r="A12" s="13" t="s">
        <v>67</v>
      </c>
      <c r="B12" s="13"/>
      <c r="C12" s="13" t="s">
        <v>266</v>
      </c>
      <c r="D12" s="43"/>
      <c r="E12" s="13" t="s">
        <v>267</v>
      </c>
    </row>
    <row r="14" customFormat="false" ht="24" hidden="false" customHeight="true" outlineLevel="0" collapsed="false">
      <c r="A14" s="44" t="s">
        <v>268</v>
      </c>
      <c r="B14" s="44"/>
      <c r="C14" s="44"/>
      <c r="D14" s="44"/>
      <c r="E14" s="44"/>
    </row>
    <row r="15" customFormat="false" ht="19.5" hidden="false" customHeight="true" outlineLevel="0" collapsed="false">
      <c r="A15" s="6" t="s">
        <v>9</v>
      </c>
      <c r="B15" s="6" t="s">
        <v>8</v>
      </c>
      <c r="C15" s="6" t="s">
        <v>238</v>
      </c>
      <c r="D15" s="6" t="s">
        <v>269</v>
      </c>
      <c r="E15" s="6" t="s">
        <v>227</v>
      </c>
    </row>
    <row r="16" customFormat="false" ht="21.75" hidden="false" customHeight="true" outlineLevel="0" collapsed="false">
      <c r="A16" s="26" t="s">
        <v>241</v>
      </c>
      <c r="B16" s="26" t="s">
        <v>12</v>
      </c>
      <c r="C16" s="26" t="s">
        <v>270</v>
      </c>
      <c r="D16" s="27" t="s">
        <v>271</v>
      </c>
      <c r="E16" s="26" t="s">
        <v>272</v>
      </c>
    </row>
    <row r="17" customFormat="false" ht="21.75" hidden="false" customHeight="true" outlineLevel="0" collapsed="false">
      <c r="A17" s="8" t="s">
        <v>245</v>
      </c>
      <c r="B17" s="8" t="s">
        <v>15</v>
      </c>
      <c r="C17" s="8" t="s">
        <v>242</v>
      </c>
      <c r="D17" s="7" t="s">
        <v>273</v>
      </c>
      <c r="E17" s="8" t="s">
        <v>274</v>
      </c>
    </row>
    <row r="18" customFormat="false" ht="21.75" hidden="false" customHeight="true" outlineLevel="0" collapsed="false">
      <c r="A18" s="26" t="s">
        <v>250</v>
      </c>
      <c r="B18" s="26" t="s">
        <v>18</v>
      </c>
      <c r="C18" s="26" t="s">
        <v>275</v>
      </c>
      <c r="D18" s="27" t="s">
        <v>276</v>
      </c>
      <c r="E18" s="26" t="s">
        <v>277</v>
      </c>
    </row>
    <row r="19" customFormat="false" ht="21.75" hidden="false" customHeight="true" outlineLevel="0" collapsed="false">
      <c r="A19" s="8" t="s">
        <v>255</v>
      </c>
      <c r="B19" s="8" t="s">
        <v>21</v>
      </c>
      <c r="C19" s="8" t="s">
        <v>270</v>
      </c>
      <c r="D19" s="7" t="s">
        <v>278</v>
      </c>
      <c r="E19" s="8" t="s">
        <v>279</v>
      </c>
    </row>
    <row r="20" customFormat="false" ht="21.75" hidden="false" customHeight="true" outlineLevel="0" collapsed="false">
      <c r="A20" s="26" t="s">
        <v>259</v>
      </c>
      <c r="B20" s="26" t="s">
        <v>24</v>
      </c>
      <c r="C20" s="26" t="s">
        <v>242</v>
      </c>
      <c r="D20" s="27" t="s">
        <v>280</v>
      </c>
      <c r="E20" s="26" t="s">
        <v>281</v>
      </c>
    </row>
    <row r="21" customFormat="false" ht="21.75" hidden="false" customHeight="true" outlineLevel="0" collapsed="false">
      <c r="A21" s="13" t="s">
        <v>67</v>
      </c>
      <c r="B21" s="13"/>
      <c r="C21" s="13" t="s">
        <v>282</v>
      </c>
      <c r="D21" s="43"/>
      <c r="E21" s="13" t="s">
        <v>283</v>
      </c>
    </row>
    <row r="23" customFormat="false" ht="24" hidden="false" customHeight="true" outlineLevel="0" collapsed="false">
      <c r="A23" s="45" t="s">
        <v>284</v>
      </c>
      <c r="B23" s="45"/>
      <c r="C23" s="45"/>
      <c r="D23" s="45"/>
      <c r="E23" s="45"/>
    </row>
    <row r="24" customFormat="false" ht="19.5" hidden="false" customHeight="true" outlineLevel="0" collapsed="false">
      <c r="A24" s="6" t="s">
        <v>141</v>
      </c>
      <c r="B24" s="6" t="s">
        <v>285</v>
      </c>
      <c r="C24" s="6" t="s">
        <v>286</v>
      </c>
    </row>
    <row r="25" customFormat="false" ht="21.75" hidden="false" customHeight="true" outlineLevel="0" collapsed="false">
      <c r="A25" s="8" t="s">
        <v>287</v>
      </c>
      <c r="B25" s="46" t="s">
        <v>288</v>
      </c>
      <c r="C25" s="7" t="s">
        <v>289</v>
      </c>
    </row>
    <row r="26" customFormat="false" ht="21.75" hidden="false" customHeight="true" outlineLevel="0" collapsed="false">
      <c r="A26" s="11" t="s">
        <v>290</v>
      </c>
      <c r="B26" s="47" t="s">
        <v>291</v>
      </c>
      <c r="C26" s="10" t="s">
        <v>292</v>
      </c>
    </row>
    <row r="27" customFormat="false" ht="21.75" hidden="false" customHeight="true" outlineLevel="0" collapsed="false">
      <c r="A27" s="8" t="s">
        <v>293</v>
      </c>
      <c r="B27" s="46" t="s">
        <v>294</v>
      </c>
      <c r="C27" s="7" t="s">
        <v>295</v>
      </c>
    </row>
    <row r="28" customFormat="false" ht="21.75" hidden="false" customHeight="true" outlineLevel="0" collapsed="false">
      <c r="A28" s="11" t="s">
        <v>296</v>
      </c>
      <c r="B28" s="47" t="s">
        <v>297</v>
      </c>
      <c r="C28" s="10" t="s">
        <v>298</v>
      </c>
    </row>
  </sheetData>
  <mergeCells count="5">
    <mergeCell ref="A1:E1"/>
    <mergeCell ref="A2:E2"/>
    <mergeCell ref="A4:E4"/>
    <mergeCell ref="A14:E14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8"/>
    <col collapsed="false" customWidth="true" hidden="false" outlineLevel="0" max="3" min="3" style="1" width="46"/>
    <col collapsed="false" customWidth="true" hidden="false" outlineLevel="0" max="4" min="4" style="1" width="8"/>
  </cols>
  <sheetData>
    <row r="1" customFormat="false" ht="45" hidden="false" customHeight="true" outlineLevel="0" collapsed="false">
      <c r="A1" s="16" t="s">
        <v>299</v>
      </c>
      <c r="B1" s="16"/>
      <c r="C1" s="16"/>
      <c r="D1" s="16"/>
    </row>
    <row r="3" customFormat="false" ht="25.5" hidden="false" customHeight="true" outlineLevel="0" collapsed="false">
      <c r="A3" s="25" t="s">
        <v>300</v>
      </c>
      <c r="B3" s="25"/>
      <c r="C3" s="25"/>
      <c r="D3" s="25"/>
    </row>
    <row r="4" customFormat="false" ht="19.5" hidden="false" customHeight="true" outlineLevel="0" collapsed="false">
      <c r="A4" s="6" t="s">
        <v>301</v>
      </c>
      <c r="B4" s="6" t="s">
        <v>141</v>
      </c>
      <c r="C4" s="6" t="s">
        <v>302</v>
      </c>
      <c r="D4" s="6" t="s">
        <v>303</v>
      </c>
    </row>
    <row r="5" customFormat="false" ht="21.75" hidden="false" customHeight="true" outlineLevel="0" collapsed="false">
      <c r="A5" s="8" t="n">
        <v>1</v>
      </c>
      <c r="B5" s="8" t="s">
        <v>290</v>
      </c>
      <c r="C5" s="48" t="s">
        <v>304</v>
      </c>
      <c r="D5" s="7" t="s">
        <v>305</v>
      </c>
    </row>
    <row r="6" customFormat="false" ht="21.75" hidden="false" customHeight="true" outlineLevel="0" collapsed="false">
      <c r="A6" s="11" t="n">
        <v>2</v>
      </c>
      <c r="B6" s="11" t="s">
        <v>306</v>
      </c>
      <c r="C6" s="49" t="s">
        <v>307</v>
      </c>
      <c r="D6" s="10" t="s">
        <v>308</v>
      </c>
    </row>
    <row r="7" customFormat="false" ht="21.75" hidden="false" customHeight="true" outlineLevel="0" collapsed="false">
      <c r="A7" s="8" t="n">
        <v>3</v>
      </c>
      <c r="B7" s="8" t="s">
        <v>309</v>
      </c>
      <c r="C7" s="48" t="s">
        <v>310</v>
      </c>
      <c r="D7" s="7" t="s">
        <v>311</v>
      </c>
    </row>
    <row r="8" customFormat="false" ht="21.75" hidden="false" customHeight="true" outlineLevel="0" collapsed="false">
      <c r="A8" s="11" t="n">
        <v>4</v>
      </c>
      <c r="B8" s="11" t="s">
        <v>312</v>
      </c>
      <c r="C8" s="49" t="s">
        <v>313</v>
      </c>
      <c r="D8" s="10" t="s">
        <v>314</v>
      </c>
    </row>
    <row r="9" customFormat="false" ht="21.75" hidden="false" customHeight="true" outlineLevel="0" collapsed="false">
      <c r="A9" s="8" t="n">
        <v>5</v>
      </c>
      <c r="B9" s="8" t="s">
        <v>287</v>
      </c>
      <c r="C9" s="48" t="s">
        <v>315</v>
      </c>
      <c r="D9" s="7" t="s">
        <v>316</v>
      </c>
    </row>
    <row r="10" customFormat="false" ht="21.75" hidden="false" customHeight="true" outlineLevel="0" collapsed="false">
      <c r="A10" s="11" t="n">
        <v>6</v>
      </c>
      <c r="B10" s="11" t="s">
        <v>317</v>
      </c>
      <c r="C10" s="49" t="s">
        <v>318</v>
      </c>
      <c r="D10" s="10" t="s">
        <v>319</v>
      </c>
    </row>
    <row r="11" customFormat="false" ht="21.75" hidden="false" customHeight="true" outlineLevel="0" collapsed="false">
      <c r="A11" s="8" t="n">
        <v>7</v>
      </c>
      <c r="B11" s="8" t="s">
        <v>320</v>
      </c>
      <c r="C11" s="48" t="s">
        <v>321</v>
      </c>
      <c r="D11" s="7" t="s">
        <v>322</v>
      </c>
    </row>
    <row r="12" customFormat="false" ht="21.75" hidden="false" customHeight="true" outlineLevel="0" collapsed="false">
      <c r="A12" s="11" t="n">
        <v>8</v>
      </c>
      <c r="B12" s="11" t="s">
        <v>323</v>
      </c>
      <c r="C12" s="49" t="s">
        <v>324</v>
      </c>
      <c r="D12" s="10" t="s">
        <v>325</v>
      </c>
    </row>
    <row r="13" customFormat="false" ht="21.75" hidden="false" customHeight="true" outlineLevel="0" collapsed="false">
      <c r="A13" s="8" t="n">
        <v>9</v>
      </c>
      <c r="B13" s="8" t="s">
        <v>326</v>
      </c>
      <c r="C13" s="48" t="s">
        <v>327</v>
      </c>
      <c r="D13" s="7" t="s">
        <v>328</v>
      </c>
    </row>
    <row r="14" customFormat="false" ht="21.75" hidden="false" customHeight="true" outlineLevel="0" collapsed="false">
      <c r="A14" s="11" t="n">
        <v>10</v>
      </c>
      <c r="B14" s="11" t="s">
        <v>329</v>
      </c>
      <c r="C14" s="49" t="s">
        <v>330</v>
      </c>
      <c r="D14" s="10" t="s">
        <v>331</v>
      </c>
    </row>
    <row r="16" customFormat="false" ht="25.5" hidden="false" customHeight="true" outlineLevel="0" collapsed="false">
      <c r="A16" s="50" t="s">
        <v>332</v>
      </c>
      <c r="B16" s="50"/>
      <c r="C16" s="50"/>
      <c r="D16" s="50"/>
    </row>
    <row r="17" customFormat="false" ht="19.5" hidden="false" customHeight="true" outlineLevel="0" collapsed="false">
      <c r="A17" s="6" t="s">
        <v>333</v>
      </c>
      <c r="B17" s="6" t="s">
        <v>334</v>
      </c>
      <c r="C17" s="6" t="s">
        <v>335</v>
      </c>
      <c r="D17" s="6" t="s">
        <v>336</v>
      </c>
    </row>
    <row r="18" customFormat="false" ht="24" hidden="false" customHeight="true" outlineLevel="0" collapsed="false">
      <c r="A18" s="49" t="s">
        <v>337</v>
      </c>
      <c r="B18" s="10" t="s">
        <v>338</v>
      </c>
      <c r="C18" s="10" t="s">
        <v>339</v>
      </c>
      <c r="D18" s="10" t="s">
        <v>340</v>
      </c>
    </row>
    <row r="19" customFormat="false" ht="24" hidden="false" customHeight="true" outlineLevel="0" collapsed="false">
      <c r="A19" s="48" t="s">
        <v>341</v>
      </c>
      <c r="B19" s="7" t="s">
        <v>342</v>
      </c>
      <c r="C19" s="7" t="s">
        <v>343</v>
      </c>
      <c r="D19" s="7" t="s">
        <v>344</v>
      </c>
    </row>
    <row r="20" customFormat="false" ht="24" hidden="false" customHeight="true" outlineLevel="0" collapsed="false">
      <c r="A20" s="49" t="s">
        <v>345</v>
      </c>
      <c r="B20" s="10" t="s">
        <v>346</v>
      </c>
      <c r="C20" s="10" t="s">
        <v>347</v>
      </c>
      <c r="D20" s="10" t="s">
        <v>344</v>
      </c>
    </row>
    <row r="21" customFormat="false" ht="24" hidden="false" customHeight="true" outlineLevel="0" collapsed="false">
      <c r="A21" s="48" t="s">
        <v>348</v>
      </c>
      <c r="B21" s="7" t="s">
        <v>349</v>
      </c>
      <c r="C21" s="7" t="s">
        <v>350</v>
      </c>
      <c r="D21" s="7" t="s">
        <v>351</v>
      </c>
    </row>
    <row r="22" customFormat="false" ht="24" hidden="false" customHeight="true" outlineLevel="0" collapsed="false">
      <c r="A22" s="49" t="s">
        <v>352</v>
      </c>
      <c r="B22" s="10" t="s">
        <v>353</v>
      </c>
      <c r="C22" s="10" t="s">
        <v>354</v>
      </c>
      <c r="D22" s="10" t="s">
        <v>344</v>
      </c>
    </row>
    <row r="23" customFormat="false" ht="24" hidden="false" customHeight="true" outlineLevel="0" collapsed="false">
      <c r="A23" s="48" t="s">
        <v>355</v>
      </c>
      <c r="B23" s="7" t="s">
        <v>356</v>
      </c>
      <c r="C23" s="7" t="s">
        <v>357</v>
      </c>
      <c r="D23" s="7" t="s">
        <v>340</v>
      </c>
    </row>
    <row r="25" customFormat="false" ht="25.5" hidden="false" customHeight="true" outlineLevel="0" collapsed="false">
      <c r="A25" s="24" t="s">
        <v>358</v>
      </c>
      <c r="B25" s="24"/>
      <c r="C25" s="24"/>
      <c r="D25" s="24"/>
    </row>
    <row r="26" customFormat="false" ht="19.5" hidden="false" customHeight="true" outlineLevel="0" collapsed="false">
      <c r="A26" s="6" t="s">
        <v>359</v>
      </c>
      <c r="B26" s="6" t="s">
        <v>360</v>
      </c>
      <c r="C26" s="6" t="s">
        <v>361</v>
      </c>
      <c r="D26" s="6" t="s">
        <v>362</v>
      </c>
    </row>
    <row r="27" customFormat="false" ht="21.75" hidden="false" customHeight="true" outlineLevel="0" collapsed="false">
      <c r="A27" s="7" t="s">
        <v>307</v>
      </c>
      <c r="B27" s="7" t="s">
        <v>363</v>
      </c>
      <c r="C27" s="7" t="s">
        <v>364</v>
      </c>
      <c r="D27" s="8" t="s">
        <v>365</v>
      </c>
    </row>
    <row r="28" customFormat="false" ht="21.75" hidden="false" customHeight="true" outlineLevel="0" collapsed="false">
      <c r="A28" s="10" t="s">
        <v>366</v>
      </c>
      <c r="B28" s="10" t="s">
        <v>367</v>
      </c>
      <c r="C28" s="10" t="s">
        <v>368</v>
      </c>
      <c r="D28" s="11" t="s">
        <v>365</v>
      </c>
    </row>
    <row r="29" customFormat="false" ht="21.75" hidden="false" customHeight="true" outlineLevel="0" collapsed="false">
      <c r="A29" s="7" t="s">
        <v>369</v>
      </c>
      <c r="B29" s="7" t="s">
        <v>370</v>
      </c>
      <c r="C29" s="7" t="s">
        <v>371</v>
      </c>
      <c r="D29" s="8" t="s">
        <v>365</v>
      </c>
    </row>
    <row r="30" customFormat="false" ht="21.75" hidden="false" customHeight="true" outlineLevel="0" collapsed="false">
      <c r="A30" s="10" t="s">
        <v>372</v>
      </c>
      <c r="B30" s="10" t="s">
        <v>373</v>
      </c>
      <c r="C30" s="10" t="s">
        <v>374</v>
      </c>
      <c r="D30" s="11" t="s">
        <v>365</v>
      </c>
    </row>
    <row r="31" customFormat="false" ht="21.75" hidden="false" customHeight="true" outlineLevel="0" collapsed="false">
      <c r="A31" s="7" t="s">
        <v>375</v>
      </c>
      <c r="B31" s="7" t="s">
        <v>376</v>
      </c>
      <c r="C31" s="7" t="s">
        <v>377</v>
      </c>
      <c r="D31" s="8" t="s">
        <v>365</v>
      </c>
    </row>
    <row r="32" customFormat="false" ht="21.75" hidden="false" customHeight="true" outlineLevel="0" collapsed="false">
      <c r="A32" s="10" t="s">
        <v>378</v>
      </c>
      <c r="B32" s="10" t="s">
        <v>379</v>
      </c>
      <c r="C32" s="10" t="s">
        <v>380</v>
      </c>
      <c r="D32" s="11" t="s">
        <v>365</v>
      </c>
    </row>
  </sheetData>
  <mergeCells count="4">
    <mergeCell ref="A1:D1"/>
    <mergeCell ref="A3:D3"/>
    <mergeCell ref="A16:D16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15"/>
    <col collapsed="false" customWidth="true" hidden="false" outlineLevel="0" max="8" min="5" style="1" width="14"/>
    <col collapsed="false" customWidth="true" hidden="false" outlineLevel="0" max="10" min="9" style="1" width="13"/>
    <col collapsed="false" customWidth="true" hidden="false" outlineLevel="0" max="12" min="11" style="1" width="14"/>
    <col collapsed="false" customWidth="true" hidden="false" outlineLevel="0" max="13" min="13" style="1" width="15"/>
    <col collapsed="false" customWidth="true" hidden="false" outlineLevel="0" max="14" min="14" style="0" width="22"/>
  </cols>
  <sheetData>
    <row r="1" customFormat="false" ht="49.5" hidden="false" customHeight="true" outlineLevel="0" collapsed="false">
      <c r="A1" s="51" t="s">
        <v>381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customFormat="false" ht="21.75" hidden="false" customHeight="true" outlineLevel="0" collapsed="false">
      <c r="A2" s="52" t="s">
        <v>382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customFormat="false" ht="18" hidden="false" customHeight="true" outlineLevel="0" collapsed="false">
      <c r="A3" s="53" t="s">
        <v>383</v>
      </c>
      <c r="B3" s="53"/>
      <c r="C3" s="53"/>
      <c r="D3" s="53" t="s">
        <v>384</v>
      </c>
      <c r="E3" s="53"/>
      <c r="F3" s="53"/>
      <c r="G3" s="53"/>
      <c r="H3" s="53"/>
      <c r="I3" s="53"/>
      <c r="J3" s="53"/>
      <c r="K3" s="53"/>
      <c r="L3" s="53"/>
      <c r="M3" s="53"/>
    </row>
    <row r="4" customFormat="false" ht="34.5" hidden="false" customHeight="true" outlineLevel="0" collapsed="false">
      <c r="A4" s="6" t="s">
        <v>385</v>
      </c>
      <c r="B4" s="6" t="s">
        <v>386</v>
      </c>
      <c r="C4" s="54" t="s">
        <v>387</v>
      </c>
      <c r="D4" s="55" t="s">
        <v>388</v>
      </c>
      <c r="E4" s="56" t="s">
        <v>389</v>
      </c>
      <c r="F4" s="57" t="s">
        <v>390</v>
      </c>
      <c r="G4" s="54" t="s">
        <v>391</v>
      </c>
      <c r="H4" s="58" t="s">
        <v>392</v>
      </c>
      <c r="I4" s="56" t="s">
        <v>393</v>
      </c>
      <c r="J4" s="6" t="s">
        <v>394</v>
      </c>
      <c r="K4" s="59" t="s">
        <v>395</v>
      </c>
      <c r="L4" s="55" t="s">
        <v>396</v>
      </c>
      <c r="M4" s="55" t="s">
        <v>397</v>
      </c>
      <c r="N4" s="6" t="s">
        <v>398</v>
      </c>
    </row>
    <row r="5" customFormat="false" ht="21.75" hidden="false" customHeight="true" outlineLevel="0" collapsed="false">
      <c r="A5" s="60" t="n">
        <v>46149</v>
      </c>
      <c r="B5" s="11" t="s">
        <v>399</v>
      </c>
      <c r="C5" s="61" t="s">
        <v>400</v>
      </c>
      <c r="D5" s="62" t="n">
        <f aca="false">IF(C5="✓",1900,1700)</f>
        <v>1900</v>
      </c>
      <c r="E5" s="63"/>
      <c r="F5" s="64"/>
      <c r="G5" s="65"/>
      <c r="H5" s="66"/>
      <c r="I5" s="67"/>
      <c r="J5" s="68" t="n">
        <f aca="false">IFERROR(SUM(E5:I5),0)</f>
        <v>0</v>
      </c>
      <c r="K5" s="69"/>
      <c r="L5" s="11" t="str">
        <f aca="false">IFERROR(IF(K5="","",IF(K5&gt;=D5,"✅ Yes",IF(K5&gt;=D5-150,"🟡 Close","❌ No"))),"" )</f>
        <v/>
      </c>
      <c r="M5" s="11" t="str">
        <f aca="false">IFERROR(IF(J5=0,"",IF(J5&gt;=90,"✅ Yes",IF(J5&gt;=75,"🟡 Close","❌ No"))),"" )</f>
        <v/>
      </c>
      <c r="N5" s="10"/>
    </row>
    <row r="6" customFormat="false" ht="21.75" hidden="false" customHeight="true" outlineLevel="0" collapsed="false">
      <c r="A6" s="70" t="n">
        <v>46150</v>
      </c>
      <c r="B6" s="8" t="s">
        <v>401</v>
      </c>
      <c r="C6" s="61" t="s">
        <v>400</v>
      </c>
      <c r="D6" s="62" t="n">
        <f aca="false">IF(C6="✓",1900,1700)</f>
        <v>1900</v>
      </c>
      <c r="E6" s="63"/>
      <c r="F6" s="64"/>
      <c r="G6" s="65"/>
      <c r="H6" s="66"/>
      <c r="I6" s="67"/>
      <c r="J6" s="68" t="n">
        <f aca="false">IFERROR(SUM(E6:I6),0)</f>
        <v>0</v>
      </c>
      <c r="K6" s="71"/>
      <c r="L6" s="8" t="str">
        <f aca="false">IFERROR(IF(K6="","",IF(K6&gt;=D6,"✅ Yes",IF(K6&gt;=D6-150,"🟡 Close","❌ No"))),"" )</f>
        <v/>
      </c>
      <c r="M6" s="8" t="str">
        <f aca="false">IFERROR(IF(J6=0,"",IF(J6&gt;=90,"✅ Yes",IF(J6&gt;=75,"🟡 Close","❌ No"))),"" )</f>
        <v/>
      </c>
      <c r="N6" s="7"/>
    </row>
    <row r="7" customFormat="false" ht="21.75" hidden="false" customHeight="true" outlineLevel="0" collapsed="false">
      <c r="A7" s="60" t="n">
        <v>46151</v>
      </c>
      <c r="B7" s="47" t="s">
        <v>402</v>
      </c>
      <c r="C7" s="72"/>
      <c r="D7" s="62" t="n">
        <f aca="false">IF(C7="✓",1900,1700)</f>
        <v>1700</v>
      </c>
      <c r="E7" s="63"/>
      <c r="F7" s="64"/>
      <c r="G7" s="65"/>
      <c r="H7" s="66"/>
      <c r="I7" s="67"/>
      <c r="J7" s="68" t="n">
        <f aca="false">IFERROR(SUM(E7:I7),0)</f>
        <v>0</v>
      </c>
      <c r="K7" s="69"/>
      <c r="L7" s="11" t="str">
        <f aca="false">IFERROR(IF(K7="","",IF(K7&gt;=D7,"✅ Yes",IF(K7&gt;=D7-150,"🟡 Close","❌ No"))),"" )</f>
        <v/>
      </c>
      <c r="M7" s="11" t="str">
        <f aca="false">IFERROR(IF(J7=0,"",IF(J7&gt;=90,"✅ Yes",IF(J7&gt;=75,"🟡 Close","❌ No"))),"" )</f>
        <v/>
      </c>
      <c r="N7" s="10"/>
    </row>
    <row r="8" customFormat="false" ht="21.75" hidden="false" customHeight="true" outlineLevel="0" collapsed="false">
      <c r="A8" s="70" t="n">
        <v>46152</v>
      </c>
      <c r="B8" s="46" t="s">
        <v>403</v>
      </c>
      <c r="C8" s="73"/>
      <c r="D8" s="62" t="n">
        <f aca="false">IF(C8="✓",1900,1700)</f>
        <v>1700</v>
      </c>
      <c r="E8" s="63"/>
      <c r="F8" s="64"/>
      <c r="G8" s="65"/>
      <c r="H8" s="66"/>
      <c r="I8" s="67"/>
      <c r="J8" s="68" t="n">
        <f aca="false">IFERROR(SUM(E8:I8),0)</f>
        <v>0</v>
      </c>
      <c r="K8" s="71"/>
      <c r="L8" s="8" t="str">
        <f aca="false">IFERROR(IF(K8="","",IF(K8&gt;=D8,"✅ Yes",IF(K8&gt;=D8-150,"🟡 Close","❌ No"))),"" )</f>
        <v/>
      </c>
      <c r="M8" s="8" t="str">
        <f aca="false">IFERROR(IF(J8=0,"",IF(J8&gt;=90,"✅ Yes",IF(J8&gt;=75,"🟡 Close","❌ No"))),"" )</f>
        <v/>
      </c>
      <c r="N8" s="7"/>
    </row>
    <row r="9" customFormat="false" ht="21.75" hidden="false" customHeight="true" outlineLevel="0" collapsed="false">
      <c r="A9" s="60" t="n">
        <v>46153</v>
      </c>
      <c r="B9" s="11" t="s">
        <v>404</v>
      </c>
      <c r="C9" s="61" t="s">
        <v>400</v>
      </c>
      <c r="D9" s="62" t="n">
        <f aca="false">IF(C9="✓",1900,1700)</f>
        <v>1900</v>
      </c>
      <c r="E9" s="63"/>
      <c r="F9" s="64"/>
      <c r="G9" s="65"/>
      <c r="H9" s="66"/>
      <c r="I9" s="67"/>
      <c r="J9" s="68" t="n">
        <f aca="false">IFERROR(SUM(E9:I9),0)</f>
        <v>0</v>
      </c>
      <c r="K9" s="69"/>
      <c r="L9" s="11" t="str">
        <f aca="false">IFERROR(IF(K9="","",IF(K9&gt;=D9,"✅ Yes",IF(K9&gt;=D9-150,"🟡 Close","❌ No"))),"" )</f>
        <v/>
      </c>
      <c r="M9" s="11" t="str">
        <f aca="false">IFERROR(IF(J9=0,"",IF(J9&gt;=90,"✅ Yes",IF(J9&gt;=75,"🟡 Close","❌ No"))),"" )</f>
        <v/>
      </c>
      <c r="N9" s="10"/>
    </row>
    <row r="10" customFormat="false" ht="21.75" hidden="false" customHeight="true" outlineLevel="0" collapsed="false">
      <c r="A10" s="70" t="n">
        <v>46154</v>
      </c>
      <c r="B10" s="8" t="s">
        <v>405</v>
      </c>
      <c r="C10" s="61" t="s">
        <v>400</v>
      </c>
      <c r="D10" s="62" t="n">
        <f aca="false">IF(C10="✓",1900,1700)</f>
        <v>1900</v>
      </c>
      <c r="E10" s="63"/>
      <c r="F10" s="64"/>
      <c r="G10" s="65"/>
      <c r="H10" s="66"/>
      <c r="I10" s="67"/>
      <c r="J10" s="68" t="n">
        <f aca="false">IFERROR(SUM(E10:I10),0)</f>
        <v>0</v>
      </c>
      <c r="K10" s="71"/>
      <c r="L10" s="8" t="str">
        <f aca="false">IFERROR(IF(K10="","",IF(K10&gt;=D10,"✅ Yes",IF(K10&gt;=D10-150,"🟡 Close","❌ No"))),"" )</f>
        <v/>
      </c>
      <c r="M10" s="8" t="str">
        <f aca="false">IFERROR(IF(J10=0,"",IF(J10&gt;=90,"✅ Yes",IF(J10&gt;=75,"🟡 Close","❌ No"))),"" )</f>
        <v/>
      </c>
      <c r="N10" s="7"/>
    </row>
    <row r="11" customFormat="false" ht="21.75" hidden="false" customHeight="true" outlineLevel="0" collapsed="false">
      <c r="A11" s="60" t="n">
        <v>46155</v>
      </c>
      <c r="B11" s="11" t="s">
        <v>406</v>
      </c>
      <c r="C11" s="72"/>
      <c r="D11" s="62" t="n">
        <f aca="false">IF(C11="✓",1900,1700)</f>
        <v>1700</v>
      </c>
      <c r="E11" s="63"/>
      <c r="F11" s="64"/>
      <c r="G11" s="65"/>
      <c r="H11" s="66"/>
      <c r="I11" s="67"/>
      <c r="J11" s="68" t="n">
        <f aca="false">IFERROR(SUM(E11:I11),0)</f>
        <v>0</v>
      </c>
      <c r="K11" s="69"/>
      <c r="L11" s="11" t="str">
        <f aca="false">IFERROR(IF(K11="","",IF(K11&gt;=D11,"✅ Yes",IF(K11&gt;=D11-150,"🟡 Close","❌ No"))),"" )</f>
        <v/>
      </c>
      <c r="M11" s="11" t="str">
        <f aca="false">IFERROR(IF(J11=0,"",IF(J11&gt;=90,"✅ Yes",IF(J11&gt;=75,"🟡 Close","❌ No"))),"" )</f>
        <v/>
      </c>
      <c r="N11" s="10"/>
    </row>
    <row r="12" customFormat="false" ht="21.75" hidden="false" customHeight="true" outlineLevel="0" collapsed="false">
      <c r="A12" s="70" t="n">
        <v>46156</v>
      </c>
      <c r="B12" s="8" t="s">
        <v>399</v>
      </c>
      <c r="C12" s="61" t="s">
        <v>400</v>
      </c>
      <c r="D12" s="62" t="n">
        <f aca="false">IF(C12="✓",1900,1700)</f>
        <v>1900</v>
      </c>
      <c r="E12" s="63"/>
      <c r="F12" s="64"/>
      <c r="G12" s="65"/>
      <c r="H12" s="66"/>
      <c r="I12" s="67"/>
      <c r="J12" s="68" t="n">
        <f aca="false">IFERROR(SUM(E12:I12),0)</f>
        <v>0</v>
      </c>
      <c r="K12" s="71"/>
      <c r="L12" s="8" t="str">
        <f aca="false">IFERROR(IF(K12="","",IF(K12&gt;=D12,"✅ Yes",IF(K12&gt;=D12-150,"🟡 Close","❌ No"))),"" )</f>
        <v/>
      </c>
      <c r="M12" s="8" t="str">
        <f aca="false">IFERROR(IF(J12=0,"",IF(J12&gt;=90,"✅ Yes",IF(J12&gt;=75,"🟡 Close","❌ No"))),"" )</f>
        <v/>
      </c>
      <c r="N12" s="7"/>
    </row>
    <row r="13" customFormat="false" ht="21.75" hidden="false" customHeight="true" outlineLevel="0" collapsed="false">
      <c r="A13" s="60" t="n">
        <v>46157</v>
      </c>
      <c r="B13" s="11" t="s">
        <v>401</v>
      </c>
      <c r="C13" s="61" t="s">
        <v>400</v>
      </c>
      <c r="D13" s="62" t="n">
        <f aca="false">IF(C13="✓",1900,1700)</f>
        <v>1900</v>
      </c>
      <c r="E13" s="63"/>
      <c r="F13" s="64"/>
      <c r="G13" s="65"/>
      <c r="H13" s="66"/>
      <c r="I13" s="67"/>
      <c r="J13" s="68" t="n">
        <f aca="false">IFERROR(SUM(E13:I13),0)</f>
        <v>0</v>
      </c>
      <c r="K13" s="69"/>
      <c r="L13" s="11" t="str">
        <f aca="false">IFERROR(IF(K13="","",IF(K13&gt;=D13,"✅ Yes",IF(K13&gt;=D13-150,"🟡 Close","❌ No"))),"" )</f>
        <v/>
      </c>
      <c r="M13" s="11" t="str">
        <f aca="false">IFERROR(IF(J13=0,"",IF(J13&gt;=90,"✅ Yes",IF(J13&gt;=75,"🟡 Close","❌ No"))),"" )</f>
        <v/>
      </c>
      <c r="N13" s="10"/>
    </row>
    <row r="14" customFormat="false" ht="21.75" hidden="false" customHeight="true" outlineLevel="0" collapsed="false">
      <c r="A14" s="70" t="n">
        <v>46158</v>
      </c>
      <c r="B14" s="46" t="s">
        <v>402</v>
      </c>
      <c r="C14" s="73"/>
      <c r="D14" s="62" t="n">
        <f aca="false">IF(C14="✓",1900,1700)</f>
        <v>1700</v>
      </c>
      <c r="E14" s="63"/>
      <c r="F14" s="64"/>
      <c r="G14" s="65"/>
      <c r="H14" s="66"/>
      <c r="I14" s="67"/>
      <c r="J14" s="68" t="n">
        <f aca="false">IFERROR(SUM(E14:I14),0)</f>
        <v>0</v>
      </c>
      <c r="K14" s="71"/>
      <c r="L14" s="8" t="str">
        <f aca="false">IFERROR(IF(K14="","",IF(K14&gt;=D14,"✅ Yes",IF(K14&gt;=D14-150,"🟡 Close","❌ No"))),"" )</f>
        <v/>
      </c>
      <c r="M14" s="8" t="str">
        <f aca="false">IFERROR(IF(J14=0,"",IF(J14&gt;=90,"✅ Yes",IF(J14&gt;=75,"🟡 Close","❌ No"))),"" )</f>
        <v/>
      </c>
      <c r="N14" s="7"/>
    </row>
    <row r="15" customFormat="false" ht="21.75" hidden="false" customHeight="true" outlineLevel="0" collapsed="false">
      <c r="A15" s="60" t="n">
        <v>46159</v>
      </c>
      <c r="B15" s="47" t="s">
        <v>403</v>
      </c>
      <c r="C15" s="72"/>
      <c r="D15" s="62" t="n">
        <f aca="false">IF(C15="✓",1900,1700)</f>
        <v>1700</v>
      </c>
      <c r="E15" s="63"/>
      <c r="F15" s="64"/>
      <c r="G15" s="65"/>
      <c r="H15" s="66"/>
      <c r="I15" s="67"/>
      <c r="J15" s="68" t="n">
        <f aca="false">IFERROR(SUM(E15:I15),0)</f>
        <v>0</v>
      </c>
      <c r="K15" s="69"/>
      <c r="L15" s="11" t="str">
        <f aca="false">IFERROR(IF(K15="","",IF(K15&gt;=D15,"✅ Yes",IF(K15&gt;=D15-150,"🟡 Close","❌ No"))),"" )</f>
        <v/>
      </c>
      <c r="M15" s="11" t="str">
        <f aca="false">IFERROR(IF(J15=0,"",IF(J15&gt;=90,"✅ Yes",IF(J15&gt;=75,"🟡 Close","❌ No"))),"" )</f>
        <v/>
      </c>
      <c r="N15" s="10"/>
    </row>
    <row r="16" customFormat="false" ht="21.75" hidden="false" customHeight="true" outlineLevel="0" collapsed="false">
      <c r="A16" s="70" t="n">
        <v>46160</v>
      </c>
      <c r="B16" s="8" t="s">
        <v>404</v>
      </c>
      <c r="C16" s="61" t="s">
        <v>400</v>
      </c>
      <c r="D16" s="62" t="n">
        <f aca="false">IF(C16="✓",1900,1700)</f>
        <v>1900</v>
      </c>
      <c r="E16" s="63"/>
      <c r="F16" s="64"/>
      <c r="G16" s="65"/>
      <c r="H16" s="66"/>
      <c r="I16" s="67"/>
      <c r="J16" s="68" t="n">
        <f aca="false">IFERROR(SUM(E16:I16),0)</f>
        <v>0</v>
      </c>
      <c r="K16" s="71"/>
      <c r="L16" s="8" t="str">
        <f aca="false">IFERROR(IF(K16="","",IF(K16&gt;=D16,"✅ Yes",IF(K16&gt;=D16-150,"🟡 Close","❌ No"))),"" )</f>
        <v/>
      </c>
      <c r="M16" s="8" t="str">
        <f aca="false">IFERROR(IF(J16=0,"",IF(J16&gt;=90,"✅ Yes",IF(J16&gt;=75,"🟡 Close","❌ No"))),"" )</f>
        <v/>
      </c>
      <c r="N16" s="7"/>
    </row>
    <row r="17" customFormat="false" ht="21.75" hidden="false" customHeight="true" outlineLevel="0" collapsed="false">
      <c r="A17" s="60" t="n">
        <v>46161</v>
      </c>
      <c r="B17" s="11" t="s">
        <v>405</v>
      </c>
      <c r="C17" s="61" t="s">
        <v>400</v>
      </c>
      <c r="D17" s="62" t="n">
        <f aca="false">IF(C17="✓",1900,1700)</f>
        <v>1900</v>
      </c>
      <c r="E17" s="63"/>
      <c r="F17" s="64"/>
      <c r="G17" s="65"/>
      <c r="H17" s="66"/>
      <c r="I17" s="67"/>
      <c r="J17" s="68" t="n">
        <f aca="false">IFERROR(SUM(E17:I17),0)</f>
        <v>0</v>
      </c>
      <c r="K17" s="69"/>
      <c r="L17" s="11" t="str">
        <f aca="false">IFERROR(IF(K17="","",IF(K17&gt;=D17,"✅ Yes",IF(K17&gt;=D17-150,"🟡 Close","❌ No"))),"" )</f>
        <v/>
      </c>
      <c r="M17" s="11" t="str">
        <f aca="false">IFERROR(IF(J17=0,"",IF(J17&gt;=90,"✅ Yes",IF(J17&gt;=75,"🟡 Close","❌ No"))),"" )</f>
        <v/>
      </c>
      <c r="N17" s="10"/>
    </row>
    <row r="18" customFormat="false" ht="21.75" hidden="false" customHeight="true" outlineLevel="0" collapsed="false">
      <c r="A18" s="70" t="n">
        <v>46162</v>
      </c>
      <c r="B18" s="8" t="s">
        <v>406</v>
      </c>
      <c r="C18" s="73"/>
      <c r="D18" s="62" t="n">
        <f aca="false">IF(C18="✓",1900,1700)</f>
        <v>1700</v>
      </c>
      <c r="E18" s="63"/>
      <c r="F18" s="64"/>
      <c r="G18" s="65"/>
      <c r="H18" s="66"/>
      <c r="I18" s="67"/>
      <c r="J18" s="68" t="n">
        <f aca="false">IFERROR(SUM(E18:I18),0)</f>
        <v>0</v>
      </c>
      <c r="K18" s="71"/>
      <c r="L18" s="8" t="str">
        <f aca="false">IFERROR(IF(K18="","",IF(K18&gt;=D18,"✅ Yes",IF(K18&gt;=D18-150,"🟡 Close","❌ No"))),"" )</f>
        <v/>
      </c>
      <c r="M18" s="8" t="str">
        <f aca="false">IFERROR(IF(J18=0,"",IF(J18&gt;=90,"✅ Yes",IF(J18&gt;=75,"🟡 Close","❌ No"))),"" )</f>
        <v/>
      </c>
      <c r="N18" s="7"/>
    </row>
    <row r="19" customFormat="false" ht="21.75" hidden="false" customHeight="true" outlineLevel="0" collapsed="false">
      <c r="A19" s="60" t="n">
        <v>46163</v>
      </c>
      <c r="B19" s="11" t="s">
        <v>399</v>
      </c>
      <c r="C19" s="61" t="s">
        <v>400</v>
      </c>
      <c r="D19" s="62" t="n">
        <f aca="false">IF(C19="✓",1900,1700)</f>
        <v>1900</v>
      </c>
      <c r="E19" s="63"/>
      <c r="F19" s="64"/>
      <c r="G19" s="65"/>
      <c r="H19" s="66"/>
      <c r="I19" s="67"/>
      <c r="J19" s="68" t="n">
        <f aca="false">IFERROR(SUM(E19:I19),0)</f>
        <v>0</v>
      </c>
      <c r="K19" s="69"/>
      <c r="L19" s="11" t="str">
        <f aca="false">IFERROR(IF(K19="","",IF(K19&gt;=D19,"✅ Yes",IF(K19&gt;=D19-150,"🟡 Close","❌ No"))),"" )</f>
        <v/>
      </c>
      <c r="M19" s="11" t="str">
        <f aca="false">IFERROR(IF(J19=0,"",IF(J19&gt;=90,"✅ Yes",IF(J19&gt;=75,"🟡 Close","❌ No"))),"" )</f>
        <v/>
      </c>
      <c r="N19" s="10"/>
    </row>
    <row r="20" customFormat="false" ht="21.75" hidden="false" customHeight="true" outlineLevel="0" collapsed="false">
      <c r="A20" s="70" t="n">
        <v>46164</v>
      </c>
      <c r="B20" s="8" t="s">
        <v>401</v>
      </c>
      <c r="C20" s="61" t="s">
        <v>400</v>
      </c>
      <c r="D20" s="62" t="n">
        <f aca="false">IF(C20="✓",1900,1700)</f>
        <v>1900</v>
      </c>
      <c r="E20" s="63"/>
      <c r="F20" s="64"/>
      <c r="G20" s="65"/>
      <c r="H20" s="66"/>
      <c r="I20" s="67"/>
      <c r="J20" s="68" t="n">
        <f aca="false">IFERROR(SUM(E20:I20),0)</f>
        <v>0</v>
      </c>
      <c r="K20" s="71"/>
      <c r="L20" s="8" t="str">
        <f aca="false">IFERROR(IF(K20="","",IF(K20&gt;=D20,"✅ Yes",IF(K20&gt;=D20-150,"🟡 Close","❌ No"))),"" )</f>
        <v/>
      </c>
      <c r="M20" s="8" t="str">
        <f aca="false">IFERROR(IF(J20=0,"",IF(J20&gt;=90,"✅ Yes",IF(J20&gt;=75,"🟡 Close","❌ No"))),"" )</f>
        <v/>
      </c>
      <c r="N20" s="7"/>
    </row>
    <row r="21" customFormat="false" ht="21.75" hidden="false" customHeight="true" outlineLevel="0" collapsed="false">
      <c r="A21" s="60" t="n">
        <v>46165</v>
      </c>
      <c r="B21" s="47" t="s">
        <v>402</v>
      </c>
      <c r="C21" s="72"/>
      <c r="D21" s="62" t="n">
        <f aca="false">IF(C21="✓",1900,1700)</f>
        <v>1700</v>
      </c>
      <c r="E21" s="63"/>
      <c r="F21" s="64"/>
      <c r="G21" s="65"/>
      <c r="H21" s="66"/>
      <c r="I21" s="67"/>
      <c r="J21" s="68" t="n">
        <f aca="false">IFERROR(SUM(E21:I21),0)</f>
        <v>0</v>
      </c>
      <c r="K21" s="69"/>
      <c r="L21" s="11" t="str">
        <f aca="false">IFERROR(IF(K21="","",IF(K21&gt;=D21,"✅ Yes",IF(K21&gt;=D21-150,"🟡 Close","❌ No"))),"" )</f>
        <v/>
      </c>
      <c r="M21" s="11" t="str">
        <f aca="false">IFERROR(IF(J21=0,"",IF(J21&gt;=90,"✅ Yes",IF(J21&gt;=75,"🟡 Close","❌ No"))),"" )</f>
        <v/>
      </c>
      <c r="N21" s="10"/>
    </row>
    <row r="22" customFormat="false" ht="21.75" hidden="false" customHeight="true" outlineLevel="0" collapsed="false">
      <c r="A22" s="70" t="n">
        <v>46166</v>
      </c>
      <c r="B22" s="46" t="s">
        <v>403</v>
      </c>
      <c r="C22" s="73"/>
      <c r="D22" s="62" t="n">
        <f aca="false">IF(C22="✓",1900,1700)</f>
        <v>1700</v>
      </c>
      <c r="E22" s="63"/>
      <c r="F22" s="64"/>
      <c r="G22" s="65"/>
      <c r="H22" s="66"/>
      <c r="I22" s="67"/>
      <c r="J22" s="68" t="n">
        <f aca="false">IFERROR(SUM(E22:I22),0)</f>
        <v>0</v>
      </c>
      <c r="K22" s="71"/>
      <c r="L22" s="8" t="str">
        <f aca="false">IFERROR(IF(K22="","",IF(K22&gt;=D22,"✅ Yes",IF(K22&gt;=D22-150,"🟡 Close","❌ No"))),"" )</f>
        <v/>
      </c>
      <c r="M22" s="8" t="str">
        <f aca="false">IFERROR(IF(J22=0,"",IF(J22&gt;=90,"✅ Yes",IF(J22&gt;=75,"🟡 Close","❌ No"))),"" )</f>
        <v/>
      </c>
      <c r="N22" s="7"/>
    </row>
    <row r="23" customFormat="false" ht="21.75" hidden="false" customHeight="true" outlineLevel="0" collapsed="false">
      <c r="A23" s="60" t="n">
        <v>46167</v>
      </c>
      <c r="B23" s="11" t="s">
        <v>404</v>
      </c>
      <c r="C23" s="61" t="s">
        <v>400</v>
      </c>
      <c r="D23" s="62" t="n">
        <f aca="false">IF(C23="✓",1900,1700)</f>
        <v>1900</v>
      </c>
      <c r="E23" s="63"/>
      <c r="F23" s="64"/>
      <c r="G23" s="65"/>
      <c r="H23" s="66"/>
      <c r="I23" s="67"/>
      <c r="J23" s="68" t="n">
        <f aca="false">IFERROR(SUM(E23:I23),0)</f>
        <v>0</v>
      </c>
      <c r="K23" s="69"/>
      <c r="L23" s="11" t="str">
        <f aca="false">IFERROR(IF(K23="","",IF(K23&gt;=D23,"✅ Yes",IF(K23&gt;=D23-150,"🟡 Close","❌ No"))),"" )</f>
        <v/>
      </c>
      <c r="M23" s="11" t="str">
        <f aca="false">IFERROR(IF(J23=0,"",IF(J23&gt;=90,"✅ Yes",IF(J23&gt;=75,"🟡 Close","❌ No"))),"" )</f>
        <v/>
      </c>
      <c r="N23" s="10"/>
    </row>
    <row r="24" customFormat="false" ht="21.75" hidden="false" customHeight="true" outlineLevel="0" collapsed="false">
      <c r="A24" s="70" t="n">
        <v>46168</v>
      </c>
      <c r="B24" s="8" t="s">
        <v>405</v>
      </c>
      <c r="C24" s="61" t="s">
        <v>400</v>
      </c>
      <c r="D24" s="62" t="n">
        <f aca="false">IF(C24="✓",1900,1700)</f>
        <v>1900</v>
      </c>
      <c r="E24" s="63"/>
      <c r="F24" s="64"/>
      <c r="G24" s="65"/>
      <c r="H24" s="66"/>
      <c r="I24" s="67"/>
      <c r="J24" s="68" t="n">
        <f aca="false">IFERROR(SUM(E24:I24),0)</f>
        <v>0</v>
      </c>
      <c r="K24" s="71"/>
      <c r="L24" s="8" t="str">
        <f aca="false">IFERROR(IF(K24="","",IF(K24&gt;=D24,"✅ Yes",IF(K24&gt;=D24-150,"🟡 Close","❌ No"))),"" )</f>
        <v/>
      </c>
      <c r="M24" s="8" t="str">
        <f aca="false">IFERROR(IF(J24=0,"",IF(J24&gt;=90,"✅ Yes",IF(J24&gt;=75,"🟡 Close","❌ No"))),"" )</f>
        <v/>
      </c>
      <c r="N24" s="7"/>
    </row>
    <row r="25" customFormat="false" ht="21.75" hidden="false" customHeight="true" outlineLevel="0" collapsed="false">
      <c r="A25" s="60" t="n">
        <v>46169</v>
      </c>
      <c r="B25" s="11" t="s">
        <v>406</v>
      </c>
      <c r="C25" s="72"/>
      <c r="D25" s="62" t="n">
        <f aca="false">IF(C25="✓",1900,1700)</f>
        <v>1700</v>
      </c>
      <c r="E25" s="63"/>
      <c r="F25" s="64"/>
      <c r="G25" s="65"/>
      <c r="H25" s="66"/>
      <c r="I25" s="67"/>
      <c r="J25" s="68" t="n">
        <f aca="false">IFERROR(SUM(E25:I25),0)</f>
        <v>0</v>
      </c>
      <c r="K25" s="69"/>
      <c r="L25" s="11" t="str">
        <f aca="false">IFERROR(IF(K25="","",IF(K25&gt;=D25,"✅ Yes",IF(K25&gt;=D25-150,"🟡 Close","❌ No"))),"" )</f>
        <v/>
      </c>
      <c r="M25" s="11" t="str">
        <f aca="false">IFERROR(IF(J25=0,"",IF(J25&gt;=90,"✅ Yes",IF(J25&gt;=75,"🟡 Close","❌ No"))),"" )</f>
        <v/>
      </c>
      <c r="N25" s="10"/>
    </row>
    <row r="26" customFormat="false" ht="21.75" hidden="false" customHeight="true" outlineLevel="0" collapsed="false">
      <c r="A26" s="70" t="n">
        <v>46170</v>
      </c>
      <c r="B26" s="8" t="s">
        <v>399</v>
      </c>
      <c r="C26" s="61" t="s">
        <v>400</v>
      </c>
      <c r="D26" s="62" t="n">
        <f aca="false">IF(C26="✓",1900,1700)</f>
        <v>1900</v>
      </c>
      <c r="E26" s="63"/>
      <c r="F26" s="64"/>
      <c r="G26" s="65"/>
      <c r="H26" s="66"/>
      <c r="I26" s="67"/>
      <c r="J26" s="68" t="n">
        <f aca="false">IFERROR(SUM(E26:I26),0)</f>
        <v>0</v>
      </c>
      <c r="K26" s="71"/>
      <c r="L26" s="8" t="str">
        <f aca="false">IFERROR(IF(K26="","",IF(K26&gt;=D26,"✅ Yes",IF(K26&gt;=D26-150,"🟡 Close","❌ No"))),"" )</f>
        <v/>
      </c>
      <c r="M26" s="8" t="str">
        <f aca="false">IFERROR(IF(J26=0,"",IF(J26&gt;=90,"✅ Yes",IF(J26&gt;=75,"🟡 Close","❌ No"))),"" )</f>
        <v/>
      </c>
      <c r="N26" s="7"/>
    </row>
    <row r="27" customFormat="false" ht="21.75" hidden="false" customHeight="true" outlineLevel="0" collapsed="false">
      <c r="A27" s="60" t="n">
        <v>46171</v>
      </c>
      <c r="B27" s="11" t="s">
        <v>401</v>
      </c>
      <c r="C27" s="61" t="s">
        <v>400</v>
      </c>
      <c r="D27" s="62" t="n">
        <f aca="false">IF(C27="✓",1900,1700)</f>
        <v>1900</v>
      </c>
      <c r="E27" s="63"/>
      <c r="F27" s="64"/>
      <c r="G27" s="65"/>
      <c r="H27" s="66"/>
      <c r="I27" s="67"/>
      <c r="J27" s="68" t="n">
        <f aca="false">IFERROR(SUM(E27:I27),0)</f>
        <v>0</v>
      </c>
      <c r="K27" s="69"/>
      <c r="L27" s="11" t="str">
        <f aca="false">IFERROR(IF(K27="","",IF(K27&gt;=D27,"✅ Yes",IF(K27&gt;=D27-150,"🟡 Close","❌ No"))),"" )</f>
        <v/>
      </c>
      <c r="M27" s="11" t="str">
        <f aca="false">IFERROR(IF(J27=0,"",IF(J27&gt;=90,"✅ Yes",IF(J27&gt;=75,"🟡 Close","❌ No"))),"" )</f>
        <v/>
      </c>
      <c r="N27" s="10"/>
    </row>
    <row r="28" customFormat="false" ht="21.75" hidden="false" customHeight="true" outlineLevel="0" collapsed="false">
      <c r="A28" s="70" t="n">
        <v>46172</v>
      </c>
      <c r="B28" s="46" t="s">
        <v>402</v>
      </c>
      <c r="C28" s="73"/>
      <c r="D28" s="62" t="n">
        <f aca="false">IF(C28="✓",1900,1700)</f>
        <v>1700</v>
      </c>
      <c r="E28" s="63"/>
      <c r="F28" s="64"/>
      <c r="G28" s="65"/>
      <c r="H28" s="66"/>
      <c r="I28" s="67"/>
      <c r="J28" s="68" t="n">
        <f aca="false">IFERROR(SUM(E28:I28),0)</f>
        <v>0</v>
      </c>
      <c r="K28" s="71"/>
      <c r="L28" s="8" t="str">
        <f aca="false">IFERROR(IF(K28="","",IF(K28&gt;=D28,"✅ Yes",IF(K28&gt;=D28-150,"🟡 Close","❌ No"))),"" )</f>
        <v/>
      </c>
      <c r="M28" s="8" t="str">
        <f aca="false">IFERROR(IF(J28=0,"",IF(J28&gt;=90,"✅ Yes",IF(J28&gt;=75,"🟡 Close","❌ No"))),"" )</f>
        <v/>
      </c>
      <c r="N28" s="7"/>
    </row>
    <row r="29" customFormat="false" ht="21.75" hidden="false" customHeight="true" outlineLevel="0" collapsed="false">
      <c r="A29" s="60" t="n">
        <v>46173</v>
      </c>
      <c r="B29" s="47" t="s">
        <v>403</v>
      </c>
      <c r="C29" s="72"/>
      <c r="D29" s="62" t="n">
        <f aca="false">IF(C29="✓",1900,1700)</f>
        <v>1700</v>
      </c>
      <c r="E29" s="63"/>
      <c r="F29" s="64"/>
      <c r="G29" s="65"/>
      <c r="H29" s="66"/>
      <c r="I29" s="67"/>
      <c r="J29" s="68" t="n">
        <f aca="false">IFERROR(SUM(E29:I29),0)</f>
        <v>0</v>
      </c>
      <c r="K29" s="69"/>
      <c r="L29" s="11" t="str">
        <f aca="false">IFERROR(IF(K29="","",IF(K29&gt;=D29,"✅ Yes",IF(K29&gt;=D29-150,"🟡 Close","❌ No"))),"" )</f>
        <v/>
      </c>
      <c r="M29" s="11" t="str">
        <f aca="false">IFERROR(IF(J29=0,"",IF(J29&gt;=90,"✅ Yes",IF(J29&gt;=75,"🟡 Close","❌ No"))),"" )</f>
        <v/>
      </c>
      <c r="N29" s="10"/>
    </row>
    <row r="30" customFormat="false" ht="21.75" hidden="false" customHeight="true" outlineLevel="0" collapsed="false">
      <c r="A30" s="70" t="n">
        <v>46174</v>
      </c>
      <c r="B30" s="8" t="s">
        <v>404</v>
      </c>
      <c r="C30" s="61" t="s">
        <v>400</v>
      </c>
      <c r="D30" s="62" t="n">
        <f aca="false">IF(C30="✓",1900,1700)</f>
        <v>1900</v>
      </c>
      <c r="E30" s="63"/>
      <c r="F30" s="64"/>
      <c r="G30" s="65"/>
      <c r="H30" s="66"/>
      <c r="I30" s="67"/>
      <c r="J30" s="68" t="n">
        <f aca="false">IFERROR(SUM(E30:I30),0)</f>
        <v>0</v>
      </c>
      <c r="K30" s="71"/>
      <c r="L30" s="8" t="str">
        <f aca="false">IFERROR(IF(K30="","",IF(K30&gt;=D30,"✅ Yes",IF(K30&gt;=D30-150,"🟡 Close","❌ No"))),"" )</f>
        <v/>
      </c>
      <c r="M30" s="8" t="str">
        <f aca="false">IFERROR(IF(J30=0,"",IF(J30&gt;=90,"✅ Yes",IF(J30&gt;=75,"🟡 Close","❌ No"))),"" )</f>
        <v/>
      </c>
      <c r="N30" s="7"/>
    </row>
    <row r="31" customFormat="false" ht="21.75" hidden="false" customHeight="true" outlineLevel="0" collapsed="false">
      <c r="A31" s="60" t="n">
        <v>46175</v>
      </c>
      <c r="B31" s="11" t="s">
        <v>405</v>
      </c>
      <c r="C31" s="61" t="s">
        <v>400</v>
      </c>
      <c r="D31" s="62" t="n">
        <f aca="false">IF(C31="✓",1900,1700)</f>
        <v>1900</v>
      </c>
      <c r="E31" s="63"/>
      <c r="F31" s="64"/>
      <c r="G31" s="65"/>
      <c r="H31" s="66"/>
      <c r="I31" s="67"/>
      <c r="J31" s="68" t="n">
        <f aca="false">IFERROR(SUM(E31:I31),0)</f>
        <v>0</v>
      </c>
      <c r="K31" s="69"/>
      <c r="L31" s="11" t="str">
        <f aca="false">IFERROR(IF(K31="","",IF(K31&gt;=D31,"✅ Yes",IF(K31&gt;=D31-150,"🟡 Close","❌ No"))),"" )</f>
        <v/>
      </c>
      <c r="M31" s="11" t="str">
        <f aca="false">IFERROR(IF(J31=0,"",IF(J31&gt;=90,"✅ Yes",IF(J31&gt;=75,"🟡 Close","❌ No"))),"" )</f>
        <v/>
      </c>
      <c r="N31" s="10"/>
    </row>
    <row r="32" customFormat="false" ht="21.75" hidden="false" customHeight="true" outlineLevel="0" collapsed="false">
      <c r="A32" s="70" t="n">
        <v>46176</v>
      </c>
      <c r="B32" s="8" t="s">
        <v>406</v>
      </c>
      <c r="C32" s="73"/>
      <c r="D32" s="62" t="n">
        <f aca="false">IF(C32="✓",1900,1700)</f>
        <v>1700</v>
      </c>
      <c r="E32" s="63"/>
      <c r="F32" s="64"/>
      <c r="G32" s="65"/>
      <c r="H32" s="66"/>
      <c r="I32" s="67"/>
      <c r="J32" s="68" t="n">
        <f aca="false">IFERROR(SUM(E32:I32),0)</f>
        <v>0</v>
      </c>
      <c r="K32" s="71"/>
      <c r="L32" s="8" t="str">
        <f aca="false">IFERROR(IF(K32="","",IF(K32&gt;=D32,"✅ Yes",IF(K32&gt;=D32-150,"🟡 Close","❌ No"))),"" )</f>
        <v/>
      </c>
      <c r="M32" s="8" t="str">
        <f aca="false">IFERROR(IF(J32=0,"",IF(J32&gt;=90,"✅ Yes",IF(J32&gt;=75,"🟡 Close","❌ No"))),"" )</f>
        <v/>
      </c>
      <c r="N32" s="7"/>
    </row>
    <row r="33" customFormat="false" ht="21.75" hidden="false" customHeight="true" outlineLevel="0" collapsed="false">
      <c r="A33" s="60" t="n">
        <v>46177</v>
      </c>
      <c r="B33" s="11" t="s">
        <v>399</v>
      </c>
      <c r="C33" s="61" t="s">
        <v>400</v>
      </c>
      <c r="D33" s="62" t="n">
        <f aca="false">IF(C33="✓",1900,1700)</f>
        <v>1900</v>
      </c>
      <c r="E33" s="63"/>
      <c r="F33" s="64"/>
      <c r="G33" s="65"/>
      <c r="H33" s="66"/>
      <c r="I33" s="67"/>
      <c r="J33" s="68" t="n">
        <f aca="false">IFERROR(SUM(E33:I33),0)</f>
        <v>0</v>
      </c>
      <c r="K33" s="69"/>
      <c r="L33" s="11" t="str">
        <f aca="false">IFERROR(IF(K33="","",IF(K33&gt;=D33,"✅ Yes",IF(K33&gt;=D33-150,"🟡 Close","❌ No"))),"" )</f>
        <v/>
      </c>
      <c r="M33" s="11" t="str">
        <f aca="false">IFERROR(IF(J33=0,"",IF(J33&gt;=90,"✅ Yes",IF(J33&gt;=75,"🟡 Close","❌ No"))),"" )</f>
        <v/>
      </c>
      <c r="N33" s="10"/>
    </row>
    <row r="34" customFormat="false" ht="21.75" hidden="false" customHeight="true" outlineLevel="0" collapsed="false">
      <c r="A34" s="70" t="n">
        <v>46178</v>
      </c>
      <c r="B34" s="8" t="s">
        <v>401</v>
      </c>
      <c r="C34" s="61" t="s">
        <v>400</v>
      </c>
      <c r="D34" s="62" t="n">
        <f aca="false">IF(C34="✓",1900,1700)</f>
        <v>1900</v>
      </c>
      <c r="E34" s="63"/>
      <c r="F34" s="64"/>
      <c r="G34" s="65"/>
      <c r="H34" s="66"/>
      <c r="I34" s="67"/>
      <c r="J34" s="68" t="n">
        <f aca="false">IFERROR(SUM(E34:I34),0)</f>
        <v>0</v>
      </c>
      <c r="K34" s="71"/>
      <c r="L34" s="8" t="str">
        <f aca="false">IFERROR(IF(K34="","",IF(K34&gt;=D34,"✅ Yes",IF(K34&gt;=D34-150,"🟡 Close","❌ No"))),"" )</f>
        <v/>
      </c>
      <c r="M34" s="8" t="str">
        <f aca="false">IFERROR(IF(J34=0,"",IF(J34&gt;=90,"✅ Yes",IF(J34&gt;=75,"🟡 Close","❌ No"))),"" )</f>
        <v/>
      </c>
      <c r="N34" s="7"/>
    </row>
    <row r="36" customFormat="false" ht="19.5" hidden="false" customHeight="true" outlineLevel="0" collapsed="false">
      <c r="A36" s="74" t="s">
        <v>407</v>
      </c>
      <c r="B36" s="74"/>
      <c r="C36" s="75" t="s">
        <v>408</v>
      </c>
      <c r="D36" s="76" t="s">
        <v>409</v>
      </c>
      <c r="E36" s="77" t="s">
        <v>410</v>
      </c>
      <c r="F36" s="76" t="s">
        <v>411</v>
      </c>
      <c r="G36" s="78" t="s">
        <v>412</v>
      </c>
      <c r="H36" s="78" t="s">
        <v>412</v>
      </c>
    </row>
    <row r="37" customFormat="false" ht="30" hidden="false" customHeight="true" outlineLevel="0" collapsed="false">
      <c r="C37" s="79" t="n">
        <f aca="false">COUNTIF(C5:C34,"✓")</f>
        <v>18</v>
      </c>
      <c r="D37" s="80" t="n">
        <f aca="false">ROUND(AVERAGE(D5:D34),0)</f>
        <v>1820</v>
      </c>
      <c r="E37" s="81" t="n">
        <f aca="false">IFERROR(ROUND(AVERAGEIF(J5:J34,"&gt;0"),0),0)</f>
        <v>0</v>
      </c>
      <c r="F37" s="80" t="n">
        <f aca="false">COUNTIF(L5:L34,"✅ Yes")</f>
        <v>0</v>
      </c>
      <c r="G37" s="82" t="n">
        <f aca="false">COUNTIF(M5:M34,"✅ Yes")</f>
        <v>0</v>
      </c>
      <c r="H37" s="82" t="n">
        <f aca="false">COUNTIF(L5:L34,"✅ Yes")</f>
        <v>0</v>
      </c>
    </row>
  </sheetData>
  <mergeCells count="5">
    <mergeCell ref="A1:M1"/>
    <mergeCell ref="A2:M2"/>
    <mergeCell ref="A3:C3"/>
    <mergeCell ref="D3:M3"/>
    <mergeCell ref="A36:B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2026-05-07T20:31:54Z</dcterms:created>
  <dc:creator>openpyxl</dc:creator>
  <dc:description/>
  <dc:language>en-US</dc:language>
  <cp:lastModifiedBy/>
  <dcterms:modified xsi:type="dcterms:W3CDTF">2026-05-07T21:11:20Z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